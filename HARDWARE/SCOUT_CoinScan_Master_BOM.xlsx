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benjaminflores/Desktop/SCOUT CoinScan/SCOUT-CoinScan_LOGO/"/>
    </mc:Choice>
  </mc:AlternateContent>
  <xr:revisionPtr revIDLastSave="0" documentId="11_5409AE9A040DCA021ADCC0C12DB2F31D6E475C99" xr6:coauthVersionLast="47" xr6:coauthVersionMax="47" xr10:uidLastSave="{00000000-0000-0000-0000-000000000000}"/>
  <bookViews>
    <workbookView xWindow="0" yWindow="600" windowWidth="27040" windowHeight="16020" tabRatio="500" xr2:uid="{00000000-000D-0000-FFFF-FFFF00000000}"/>
  </bookViews>
  <sheets>
    <sheet name="Master BOM" sheetId="1" r:id="rId1"/>
    <sheet name="Optics &amp; Stages" sheetId="2" r:id="rId2"/>
    <sheet name="Coin Reference" sheetId="3" r:id="rId3"/>
    <sheet name="Transport Part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3" i="1" l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4" i="1"/>
  <c r="G24" i="1"/>
  <c r="H23" i="1"/>
  <c r="G23" i="1"/>
  <c r="H22" i="1"/>
  <c r="G22" i="1"/>
  <c r="H21" i="1"/>
  <c r="G21" i="1"/>
  <c r="H20" i="1"/>
  <c r="G20" i="1"/>
  <c r="H19" i="1"/>
  <c r="G19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9" i="1"/>
  <c r="G9" i="1"/>
  <c r="H8" i="1"/>
  <c r="G8" i="1"/>
  <c r="H7" i="1"/>
  <c r="G7" i="1"/>
  <c r="H6" i="1"/>
  <c r="G6" i="1"/>
  <c r="H5" i="1"/>
  <c r="H45" i="1" s="1"/>
  <c r="G5" i="1"/>
  <c r="G45" i="1" s="1"/>
</calcChain>
</file>

<file path=xl/sharedStrings.xml><?xml version="1.0" encoding="utf-8"?>
<sst xmlns="http://schemas.openxmlformats.org/spreadsheetml/2006/main" count="474" uniqueCount="355">
  <si>
    <t>SCOUT CoinScan — Master Bill of Materials  (Snapmaker Innovation Fund, Phase 1 · 2026)</t>
  </si>
  <si>
    <t>Item</t>
  </si>
  <si>
    <t>Part No. / SKU</t>
  </si>
  <si>
    <t>Source link</t>
  </si>
  <si>
    <t>Spec / Notes</t>
  </si>
  <si>
    <t>Qty</t>
  </si>
  <si>
    <t>Unit $</t>
  </si>
  <si>
    <t>Ext. Flagship</t>
  </si>
  <si>
    <t>Ext. Budget</t>
  </si>
  <si>
    <t>Flag</t>
  </si>
  <si>
    <t>Budg</t>
  </si>
  <si>
    <t>Vendor</t>
  </si>
  <si>
    <t>COMPUTE &amp; CONTROL</t>
  </si>
  <si>
    <t>Yahboom Jetson Orin NX Super Developer Kit 16GB</t>
  </si>
  <si>
    <t>Orin NX 16GB · Developer Kit tier</t>
  </si>
  <si>
    <t>https://category.yahboom.net/products/jetson-orin-nx</t>
  </si>
  <si>
    <t>FLAGSHIP compute: NVIDIA Orin NX 16GB core module on Yahboom carrier; 157 TOPS; incl. 256GB SSD preloaded + WiFi + PSU; dual CSI. VERIFY at order: 15- vs 22-pin CSI ribbon for IMX477, and IMX477 overlay on Yahboom image (their docs center on IMX219)</t>
  </si>
  <si>
    <t>Y</t>
  </si>
  <si>
    <t>—</t>
  </si>
  <si>
    <t>Yahboom / RobotShop / Amazon</t>
  </si>
  <si>
    <t>NVIDIA Jetson Orin Nano Super Dev Kit 8GB</t>
  </si>
  <si>
    <t>945-13766-0000-000</t>
  </si>
  <si>
    <t>https://marketplace.nvidia.com/en-us/enterprise/robotics-edge/jetson-orin-nano-super-developer-kit/</t>
  </si>
  <si>
    <t>BUDGET compute (8GB — no 16GB Nano kit exists); dual IMX477 on both official MIPI ports</t>
  </si>
  <si>
    <t>NVIDIA / Arrow / Newegg</t>
  </si>
  <si>
    <t>Raspberry Pi Pico (RP2040)</t>
  </si>
  <si>
    <t>SC0915</t>
  </si>
  <si>
    <t>https://www.raspberrypi.com/products/raspberry-pi-pico/</t>
  </si>
  <si>
    <t>Real-time I/O: servos, LEDs, laser, beams</t>
  </si>
  <si>
    <t>PiShop / Adafruit</t>
  </si>
  <si>
    <t>NVMe SSD 500GB M.2 2280</t>
  </si>
  <si>
    <t>(any; e.g. WD SN570)</t>
  </si>
  <si>
    <t>https://www.westerndigital.com/</t>
  </si>
  <si>
    <t>BUDGET boot/archive (flagship Yahboom kit includes preloaded 256GB; upgrade optional)</t>
  </si>
  <si>
    <t>Amazon / Newegg</t>
  </si>
  <si>
    <t>5V 10A PSU + buck converters</t>
  </si>
  <si>
    <t>(generic; e.g. Pololu D24V)</t>
  </si>
  <si>
    <t>https://www.pololu.com/category/76/step-down-voltage-regulators</t>
  </si>
  <si>
    <t>LED/servo/logic rail; separate from compute</t>
  </si>
  <si>
    <t>Amazon / Pololu</t>
  </si>
  <si>
    <t>IMAGING</t>
  </si>
  <si>
    <t>Arducam IMX283 1" 20MP USB 3.0 (16mm C-mount) ×2</t>
  </si>
  <si>
    <t>B0477</t>
  </si>
  <si>
    <t>https://www.arducam.com/blog/product/arducam-20mp-usb-3-0-camera-module-with-16mm-c-mount-lens-b0477/</t>
  </si>
  <si>
    <t>FLAGSHIP top + bottom: identical 1" IMX283 sensors + 16mm lenses over USB 3.2 — works on Yahboom carrier (xISP MIPI Klarity is limited to ONE port and official carrier only, so USB3 is the supported dual-IMX283 path)</t>
  </si>
  <si>
    <t>Arducam / Amazon B0CW1PTSCB</t>
  </si>
  <si>
    <t>Arducam IMX477 HQ 12.3MP (C/CS-mount) ×2</t>
  </si>
  <si>
    <t>B0242</t>
  </si>
  <si>
    <t>https://www.arducam.com/b0242-arducam-imx477-hq-camera.html</t>
  </si>
  <si>
    <t>BUDGET top + bottom: natively adapted on BOTH Orin Nano MIPI ports</t>
  </si>
  <si>
    <t>Arducam</t>
  </si>
  <si>
    <t>25mm C-mount MV lens f/1.4</t>
  </si>
  <si>
    <t>(generic MV; e.g. Arducam LN059)</t>
  </si>
  <si>
    <t>https://www.arducam.com/product-category/accessories/lenses/</t>
  </si>
  <si>
    <t>Budget top optics; stop to f/8; WD≈153mm (flagship uses included 16mm lenses)</t>
  </si>
  <si>
    <t>Arducam / AliExpress</t>
  </si>
  <si>
    <t>12mm CS/C-mount lens</t>
  </si>
  <si>
    <t>(generic; e.g. Arducam LN060)</t>
  </si>
  <si>
    <t>Budget bottom cam; WD≈127mm</t>
  </si>
  <si>
    <t>C-mount extension/spacer tube kit</t>
  </si>
  <si>
    <t>(generic C-mount shim set)</t>
  </si>
  <si>
    <t>https://www.edmundoptics.com/</t>
  </si>
  <si>
    <t>5–10mm spacers to hit m=0.20</t>
  </si>
  <si>
    <t>Amazon / Edmund</t>
  </si>
  <si>
    <t>Linear polarizer film (2× A5)</t>
  </si>
  <si>
    <t>(generic; e.g. API film)</t>
  </si>
  <si>
    <t>https://www.edmundoptics.com/c/polarizers/</t>
  </si>
  <si>
    <t>Cross-polarization: LED rings + lens analyzer rings</t>
  </si>
  <si>
    <t>Edmund / Amazon</t>
  </si>
  <si>
    <t>AR-coated glass platen 100×100mm</t>
  </si>
  <si>
    <t>(generic AR window)</t>
  </si>
  <si>
    <t>https://www.edmundoptics.com/c/windows/</t>
  </si>
  <si>
    <t>Imaging window; AR both sides</t>
  </si>
  <si>
    <t>Edmund / eBay optics</t>
  </si>
  <si>
    <t>LIGHTING &amp; SPECTRAL</t>
  </si>
  <si>
    <t>Addressable RGBW LED ring 24px (×2)</t>
  </si>
  <si>
    <t>Adafruit 2874</t>
  </si>
  <si>
    <t>https://www.adafruit.com/product/2874</t>
  </si>
  <si>
    <t>Photometric-stereo quadrant sweep, top &amp; bottom</t>
  </si>
  <si>
    <t>Adafruit</t>
  </si>
  <si>
    <t>365nm true-UV LED + MOSFET driver (×2)</t>
  </si>
  <si>
    <t>(365nm; e.g. LED Engin LZ1)</t>
  </si>
  <si>
    <t>https://www.ledsupply.com/leds/uv-ultraviolet-power-leds</t>
  </si>
  <si>
    <t>Fluorescence; NOT 395nm blacklight</t>
  </si>
  <si>
    <t>LED Supply / Digi-Key</t>
  </si>
  <si>
    <t>850nm IR LED cluster (×2)</t>
  </si>
  <si>
    <t>(generic 850nm)</t>
  </si>
  <si>
    <t>https://www.digikey.com/</t>
  </si>
  <si>
    <t>Toning/corrosion penetration channel</t>
  </si>
  <si>
    <t>Amazon / Digi-Key</t>
  </si>
  <si>
    <t>470nm blue + 630nm red 3W LEDs</t>
  </si>
  <si>
    <t>(generic star LEDs)</t>
  </si>
  <si>
    <t>https://www.ledsupply.com/</t>
  </si>
  <si>
    <t>Composition ratio channels</t>
  </si>
  <si>
    <t>650nm line laser &lt;5mW + pivot micro servo</t>
  </si>
  <si>
    <t>(generic Class IIIa line)</t>
  </si>
  <si>
    <t>https://www.adafruit.com/product/1057</t>
  </si>
  <si>
    <t>Profilometry sweep; interlock via lid switch</t>
  </si>
  <si>
    <t>Amazon / Adafruit</t>
  </si>
  <si>
    <t>Logic-level MOSFET driver 4ch (×2)</t>
  </si>
  <si>
    <t>(generic; e.g. IRF520 board)</t>
  </si>
  <si>
    <t>https://www.sparkfun.com/</t>
  </si>
  <si>
    <t>UV/IR/blue/red current drive from Pico</t>
  </si>
  <si>
    <t>Amazon / SparkFun</t>
  </si>
  <si>
    <t>MOTION — AUTOFOCUS STAGE (flagship)</t>
  </si>
  <si>
    <t>MGN9 miniature rail 55mm + carriage</t>
  </si>
  <si>
    <t>MGN9H-55</t>
  </si>
  <si>
    <t>https://www.amazon.com/</t>
  </si>
  <si>
    <t>Top camera Z-stage guide</t>
  </si>
  <si>
    <t>Amazon / AliExpress</t>
  </si>
  <si>
    <t>NEMA11 stepper + M3×0.5 lead screw 60mm</t>
  </si>
  <si>
    <t>(11HS + Tr/M3)</t>
  </si>
  <si>
    <t>https://www.omc-stepperonline.com/nema-11-stepper-motor</t>
  </si>
  <si>
    <t>0.156µm/µstep @16×; printed anti-backlash nut</t>
  </si>
  <si>
    <t>StepperOnline</t>
  </si>
  <si>
    <t>TMC2208 stepper driver (Z-stage)</t>
  </si>
  <si>
    <t>BTT TMC2208 v3</t>
  </si>
  <si>
    <t>https://biqu.equipment/products/bigtreetech-tmc2208-v3-0</t>
  </si>
  <si>
    <t>Silent; driven from Pico</t>
  </si>
  <si>
    <t>BIQU / Amazon</t>
  </si>
  <si>
    <t>Optical endstop</t>
  </si>
  <si>
    <t>(generic opto endstop)</t>
  </si>
  <si>
    <t>Z-stage homing</t>
  </si>
  <si>
    <t>Amazon</t>
  </si>
  <si>
    <t>MOTION — TRANSPORT &amp; SORTING</t>
  </si>
  <si>
    <t>NEMA17 stepper + TMC2208 (disk)</t>
  </si>
  <si>
    <t>17HS + TMC2208</t>
  </si>
  <si>
    <t>https://www.omc-stepperonline.com/nema-17-stepper-motor</t>
  </si>
  <si>
    <t>Hopper/disk drive</t>
  </si>
  <si>
    <t>MG90S metal-gear micro servos</t>
  </si>
  <si>
    <t>MG90S</t>
  </si>
  <si>
    <t>https://www.adafruit.com/product/1143</t>
  </si>
  <si>
    <t>8 gate paddles + V-stop + laser pivot (=10)</t>
  </si>
  <si>
    <t>PCA9685 16-ch PWM driver</t>
  </si>
  <si>
    <t>Adafruit 815</t>
  </si>
  <si>
    <t>https://www.adafruit.com/product/815</t>
  </si>
  <si>
    <t>Servo fan-out from Pico I²C</t>
  </si>
  <si>
    <t>IR break-beam sensor pairs</t>
  </si>
  <si>
    <t>Adafruit 2168</t>
  </si>
  <si>
    <t>https://www.adafruit.com/product/2168</t>
  </si>
  <si>
    <t>Station entry + jam + rail-end miss detect</t>
  </si>
  <si>
    <t>Lid interlock microswitch</t>
  </si>
  <si>
    <t>(generic SPDT)</t>
  </si>
  <si>
    <t>Series-kills laser + UV when case open</t>
  </si>
  <si>
    <t>STRUCTURE &amp; CONSUMABLES (U1-PRINTED + HW)</t>
  </si>
  <si>
    <t>2020 aluminum extrusion 600mm (×2)</t>
  </si>
  <si>
    <t>2020-600</t>
  </si>
  <si>
    <t>Vibration-damping backbone for rail</t>
  </si>
  <si>
    <t>Amazon / Misumi</t>
  </si>
  <si>
    <t>PETG filament (structure/bins/dome)</t>
  </si>
  <si>
    <t>Snapmaker PETG</t>
  </si>
  <si>
    <t>https://us.snapmaker.com/products/snapmaker-petg-filament</t>
  </si>
  <si>
    <t>~2.5kg across printed parts</t>
  </si>
  <si>
    <t>Snapmaker store</t>
  </si>
  <si>
    <t>TPU filament (pockets/flappers/dampers)</t>
  </si>
  <si>
    <t>Snapmaker TPU</t>
  </si>
  <si>
    <t>https://us.snapmaker.com/</t>
  </si>
  <si>
    <t>Co-printed flexible features</t>
  </si>
  <si>
    <t>PLA multicolor (bins/fiducials/badges)</t>
  </si>
  <si>
    <t>Snapmaker PLA</t>
  </si>
  <si>
    <t>U1 multicolor showcase parts</t>
  </si>
  <si>
    <t>M3 hardware kit + heat-set inserts</t>
  </si>
  <si>
    <t>(generic M3 + brass inserts)</t>
  </si>
  <si>
    <t>https://www.mcmaster.com/</t>
  </si>
  <si>
    <t>Assembly fasteners</t>
  </si>
  <si>
    <t>McMaster / Amazon</t>
  </si>
  <si>
    <t>608 bearings ×4, springs, misc</t>
  </si>
  <si>
    <t>608-2RS</t>
  </si>
  <si>
    <t>Disk hub, nut preload, gate returns</t>
  </si>
  <si>
    <t>Amazon / McMaster</t>
  </si>
  <si>
    <t>Wiring, JST kit, heatshrink, ferrules</t>
  </si>
  <si>
    <t>(generic)</t>
  </si>
  <si>
    <t>Harness</t>
  </si>
  <si>
    <t>TOTAL (estimated)</t>
  </si>
  <si>
    <t>Notes: Blue unit prices = editable (Jul 2026 estimates). Blue links open vendor pages. Verified SKUs: Jetson 945-13766-0000-000, Klarity IMX283 B0542, IMX283 USB B0477, IMX477 HQ B0242, Adafruit parts by product ID. Lines marked (generic)/(any) = representative — confirm exact SKU at purchase. Flagship = Yahboom Orin NX Super Dev Kit 16GB + dual 1" IMX283 USB3 + motorized AF stage. Budget = Orin Nano 8GB kit + dual IMX477 MIPI, fixed focus. Note: no 16GB Orin Nano dev kit exists — 8GB only. U1 printer excluded.</t>
  </si>
  <si>
    <t>Imaging Geometry &amp; Focus-Stage Specs</t>
  </si>
  <si>
    <t>Parameter</t>
  </si>
  <si>
    <t>Top — Flagship (IMX283 USB3)</t>
  </si>
  <si>
    <t>Bottom — Flagship (IMX283 USB3)</t>
  </si>
  <si>
    <t>Top — Budget (IMX477)</t>
  </si>
  <si>
    <t>Bottom — Budget (IMX477)</t>
  </si>
  <si>
    <t>Notes</t>
  </si>
  <si>
    <t>Sensor / active area</t>
  </si>
  <si>
    <t>1" · 13.2 × 8.8 mm</t>
  </si>
  <si>
    <t>1/2.3" · 6.29 × 4.71 mm</t>
  </si>
  <si>
    <t>Identical 1-inch sensors both faces (flagship)</t>
  </si>
  <si>
    <t>Connection</t>
  </si>
  <si>
    <t>USB 3.2 (UVC)</t>
  </si>
  <si>
    <t>MIPI CSI-0</t>
  </si>
  <si>
    <t>MIPI CSI-1</t>
  </si>
  <si>
    <t>USB3 works on Yahboom carrier; xISP MIPI = 1 port, official carrier only</t>
  </si>
  <si>
    <t>Resolution / pixel</t>
  </si>
  <si>
    <t>5472×3648 · 2.4 µm</t>
  </si>
  <si>
    <t>4056×3040 · 1.55 µm</t>
  </si>
  <si>
    <t>Big pixels feed UV channel</t>
  </si>
  <si>
    <t>Field of view</t>
  </si>
  <si>
    <t>45 mm</t>
  </si>
  <si>
    <t>Morgan 38.1 mm + margin</t>
  </si>
  <si>
    <t>Magnification m</t>
  </si>
  <si>
    <t>m = sensor short axis / FOV</t>
  </si>
  <si>
    <t>Sampling</t>
  </si>
  <si>
    <t>~82 px/mm</t>
  </si>
  <si>
    <t>~68 px/mm</t>
  </si>
  <si>
    <t>Mint mark ≈1 mm</t>
  </si>
  <si>
    <t>Lens</t>
  </si>
  <si>
    <t>16 mm C (included)</t>
  </si>
  <si>
    <t>25 mm C + ext.</t>
  </si>
  <si>
    <t>12 mm CS/C</t>
  </si>
  <si>
    <t>Manual iris</t>
  </si>
  <si>
    <t>Working distance</t>
  </si>
  <si>
    <t>≈98 mm</t>
  </si>
  <si>
    <t>≈153 mm</t>
  </si>
  <si>
    <t>≈127 mm</t>
  </si>
  <si>
    <t>WD ≈ f(1+1/m)</t>
  </si>
  <si>
    <t>Aperture</t>
  </si>
  <si>
    <t>f/5.6</t>
  </si>
  <si>
    <t>f/8</t>
  </si>
  <si>
    <t>Budget top stops down for DOF</t>
  </si>
  <si>
    <t>Depth of field</t>
  </si>
  <si>
    <t>≈1.7 mm</t>
  </si>
  <si>
    <t>n/a (const. distance)</t>
  </si>
  <si>
    <t>≈3.5 mm @f/8</t>
  </si>
  <si>
    <t>Flagship top DOF is why the AF stage matters</t>
  </si>
  <si>
    <t>Focus scheme</t>
  </si>
  <si>
    <t>Motorized AF + 5-frame stack</t>
  </si>
  <si>
    <t>Fixed, locked at platen</t>
  </si>
  <si>
    <t>Fixed collar @ median +2mm</t>
  </si>
  <si>
    <t>Bottom always fixed</t>
  </si>
  <si>
    <t>Stage / drive</t>
  </si>
  <si>
    <t>10mm · NEMA11 + M3×0.5</t>
  </si>
  <si>
    <t>0.156µm/µstep @16×</t>
  </si>
  <si>
    <t>Camera assignment rationale: the flagship runs two identical 1" IMX283 USB 3.0 cameras (B0477) — the only supported way to get dual IMX283 on one board, since the xISP Klarity MIPI (B0542) supports a single camera port and requires the official NVIDIA carrier (the Yahboom carrier is third-party). The budget build runs dual IMX477 on both official Orin Nano MIPI ports, a fully supported native config.</t>
  </si>
  <si>
    <t>US Coin Dimensions — Design Envelope</t>
  </si>
  <si>
    <t>Coin</t>
  </si>
  <si>
    <t>Diameter (mm)</t>
  </si>
  <si>
    <t>Thickness (mm)</t>
  </si>
  <si>
    <t>Mass (g)</t>
  </si>
  <si>
    <t>Composition (common)</t>
  </si>
  <si>
    <t>Sorting note</t>
  </si>
  <si>
    <t>Dime</t>
  </si>
  <si>
    <t>Cu-Ni clad (90% Ag pre-1965)</t>
  </si>
  <si>
    <t>Smallest — sets pocket min</t>
  </si>
  <si>
    <t>Penny (Cent)</t>
  </si>
  <si>
    <t>Zn core Cu-plated (bronze pre-1982)</t>
  </si>
  <si>
    <t>Blue channel splits bronze/zinc</t>
  </si>
  <si>
    <t>Nickel</t>
  </si>
  <si>
    <t>75/25 Cu-Ni (35% Ag war 42–45)</t>
  </si>
  <si>
    <t>War nickels flagged spectrally</t>
  </si>
  <si>
    <t>Quarter</t>
  </si>
  <si>
    <t>2.24mm below golden $</t>
  </si>
  <si>
    <t>Golden dollar (SBA/Sac)</t>
  </si>
  <si>
    <t>Manganese-brass clad</t>
  </si>
  <si>
    <t>Camera verifies vs quarter</t>
  </si>
  <si>
    <t>Half dollar (Kennedy)</t>
  </si>
  <si>
    <t>Clad (40% Ag 65–70, 90% pre-65)</t>
  </si>
  <si>
    <t>Spectral silver check</t>
  </si>
  <si>
    <t>Morgan / Peace / Ike dollar</t>
  </si>
  <si>
    <t>90% Ag (Morgan/Peace); Ike clad</t>
  </si>
  <si>
    <t>Largest — sets FOV &amp; pocket max</t>
  </si>
  <si>
    <t>Design envelope: Ø 17.91–38.1 mm · thickness 1.35–2.9 mm · top-surface height variation 1.55 mm (drives AF stage).</t>
  </si>
  <si>
    <t>Transport Assembly — Printed &amp; Hardware Parts (Hopper · Rail · Servo Gate Array)</t>
  </si>
  <si>
    <t>Part</t>
  </si>
  <si>
    <t>Material</t>
  </si>
  <si>
    <t>Print orientation / method</t>
  </si>
  <si>
    <t>Key dims</t>
  </si>
  <si>
    <t>Design notes</t>
  </si>
  <si>
    <t>HOPPER / SINGULATION</t>
  </si>
  <si>
    <t>Singulation disk</t>
  </si>
  <si>
    <t>PETG</t>
  </si>
  <si>
    <t>Face-down, flat on bed</t>
  </si>
  <si>
    <t>Ø180 × 3.4 mm, 4× Ø40.5 pockets @ r60</t>
  </si>
  <si>
    <t>Through-pockets; agitator ribs; GT2 boss; depth = disk thickness</t>
  </si>
  <si>
    <t>Backplate</t>
  </si>
  <si>
    <t>Ø190 × 4 mm; 41×41 exit window @ 12 o'clock</t>
  </si>
  <si>
    <t>0.4–0.5mm gap to disk; window 8mm above rail; 45° chamfer</t>
  </si>
  <si>
    <t>Backplate shim set</t>
  </si>
  <si>
    <t>Flat</t>
  </si>
  <si>
    <t>0.2/0.3/0.4/0.5 mm rings</t>
  </si>
  <si>
    <t>Dial disk gap; dime must not knife behind disk</t>
  </si>
  <si>
    <t>Exit-window wear insert</t>
  </si>
  <si>
    <t>PETG (brass upgrade)</t>
  </si>
  <si>
    <t>Flat, perimeter walls</t>
  </si>
  <si>
    <t>Snap-in 41×41 frame</t>
  </si>
  <si>
    <t>Highest-wear part; print spares</t>
  </si>
  <si>
    <t>TPU deflector lip</t>
  </si>
  <si>
    <t>TPU co-print</t>
  </si>
  <si>
    <t>On wear insert</t>
  </si>
  <si>
    <t>40×12 mm flap</t>
  </si>
  <si>
    <t>Leans falling coin onto 30° rail face-down</t>
  </si>
  <si>
    <t>TPU double-wiper finger</t>
  </si>
  <si>
    <t>TPU + PETG</t>
  </si>
  <si>
    <t>Co-printed, flat</t>
  </si>
  <si>
    <t>32×13 mm, 1mm proud</t>
  </si>
  <si>
    <t>Brushes stacked coins back to pool</t>
  </si>
  <si>
    <t>Hopper bowl</t>
  </si>
  <si>
    <t>Upright, sections</t>
  </si>
  <si>
    <t>~1 L; walls ≥50°</t>
  </si>
  <si>
    <t>Feeds pool in bottom quadrant</t>
  </si>
  <si>
    <t>Disk drive mount + GT2 3:1</t>
  </si>
  <si>
    <t>Flat plates</t>
  </si>
  <si>
    <t>NEMA17, 20T→60T</t>
  </si>
  <si>
    <t>Index 90°/feed; stall-detect; reverse-retry</t>
  </si>
  <si>
    <t>RAIL — APPROACH &amp; IMAGING</t>
  </si>
  <si>
    <t>Approach rail section</t>
  </si>
  <si>
    <t>FACE-DOWN — bed finish = slide surface</t>
  </si>
  <si>
    <t>120 mm; walls 45→42 mm</t>
  </si>
  <si>
    <t>Plain 30° plane; taper centers diameters</t>
  </si>
  <si>
    <t>Settling-zone brush insert</t>
  </si>
  <si>
    <t>Co-printed comb</t>
  </si>
  <si>
    <t>first 40 mm after drop</t>
  </si>
  <si>
    <t>Kills landing wobble</t>
  </si>
  <si>
    <t>Brake brush insert</t>
  </si>
  <si>
    <t>last 30 mm before platen</t>
  </si>
  <si>
    <t>Bleeds ~1 m/s to crawl at V-stop</t>
  </si>
  <si>
    <t>Platen frame</t>
  </si>
  <si>
    <t>PETG multicolor</t>
  </si>
  <si>
    <t>Face-down</t>
  </si>
  <si>
    <t>100×100 glass recess; fiducials + gray patch</t>
  </si>
  <si>
    <t>Glass flush; px/mm calibration</t>
  </si>
  <si>
    <t>V-stop + servo horn</t>
  </si>
  <si>
    <t>PETG + TPU pads</t>
  </si>
  <si>
    <t>Flat; pads co-printed</t>
  </si>
  <si>
    <t>90° V, TPU-faced</t>
  </si>
  <si>
    <t>Self-centers Ø17.9–38.1; MG90S retract</t>
  </si>
  <si>
    <t>GATE RAIL — SOFTWARE-DEFINED SORTING (×8)</t>
  </si>
  <si>
    <t>Gate rail sections (×2, dovetailed)</t>
  </si>
  <si>
    <t>FACE-DOWN, dovetail</t>
  </si>
  <si>
    <t>~420 mm; 8 stations @ 50mm</t>
  </si>
  <si>
    <t>St.1 recirc/review; 2–8 software bins</t>
  </si>
  <si>
    <t>Deflector paddle module</t>
  </si>
  <si>
    <t>PETG + TPU face</t>
  </si>
  <si>
    <t>Flat; hinge vertical; face co-print</t>
  </si>
  <si>
    <t>Full width; ~45° across path</t>
  </si>
  <si>
    <t>Coin steered by momentum; servo positions</t>
  </si>
  <si>
    <t>Bin chute</t>
  </si>
  <si>
    <t>Ramp → bin; 41mm opening</t>
  </si>
  <si>
    <t>Passes all coins</t>
  </si>
  <si>
    <t>Rail-end break-beam mount</t>
  </si>
  <si>
    <t>IR pair across rail end</t>
  </si>
  <si>
    <t>Only gate sensor: fires = miss → flag/pause</t>
  </si>
  <si>
    <t>Recirculation return chute</t>
  </si>
  <si>
    <t>2 sections, face-down</t>
  </si>
  <si>
    <t>St.1 → hopper bowl</t>
  </si>
  <si>
    <t>Doubles + low-confidence loop</t>
  </si>
  <si>
    <t>Denomination bins</t>
  </si>
  <si>
    <t>PLA multicolor</t>
  </si>
  <si>
    <t>Upright</t>
  </si>
  <si>
    <t>7 sort + review, color-coded</t>
  </si>
  <si>
    <t>Software-defined: denom/decade/mint/silver</t>
  </si>
  <si>
    <t>Frame / legs + extrusion brackets</t>
  </si>
  <si>
    <t>PETG on 2020 extrusion</t>
  </si>
  <si>
    <t>Sections, flat</t>
  </si>
  <si>
    <t>Sets single 30° plane</t>
  </si>
  <si>
    <t>Extrusion damps vibration; T-nut adjust</t>
  </si>
  <si>
    <t>Control sequence: identify at V-stop → pre-set target paddle → retract V-stop → coin slides over flat gates to deflected paddle → bin. One paddle moves per coin; rail-end beam is sole miss detector. Next coin stages on upper rail during capture.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</si>
</sst>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;&quot;($&quot;#,##0.00\);\-"/>
    <numFmt numFmtId="165" formatCode="\$#,##0"/>
  </numFmts>
  <fonts count="8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4"/>
      <color rgb="FF1F3864"/>
      <name val="Arial"/>
      <charset val="1"/>
    </font>
    <font>
      <sz val="14"/>
      <name val="Arial"/>
      <charset val="1"/>
    </font>
    <font>
      <u/>
      <sz val="14"/>
      <color rgb="FF0563C1"/>
      <name val="Arial"/>
      <charset val="1"/>
    </font>
    <font>
      <sz val="14"/>
      <color rgb="FF0000FF"/>
      <name val="Arial"/>
      <charset val="1"/>
    </font>
    <font>
      <b/>
      <sz val="14"/>
      <name val="Arial"/>
      <charset val="1"/>
    </font>
    <font>
      <i/>
      <sz val="14"/>
      <color rgb="FF555555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E8C"/>
        <bgColor rgb="FF0563C1"/>
      </patternFill>
    </fill>
    <fill>
      <patternFill patternType="solid">
        <fgColor rgb="FFDCE6F1"/>
        <bgColor rgb="FFCCFFFF"/>
      </patternFill>
    </fill>
    <fill>
      <patternFill patternType="solid">
        <fgColor rgb="FFFFF2CC"/>
        <bgColor rgb="FFFFFFFF"/>
      </patternFill>
    </fill>
  </fills>
  <borders count="4">
    <border>
      <left/>
      <right/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  <border>
      <left/>
      <right/>
      <top style="thin">
        <color rgb="FFB8B8B8"/>
      </top>
      <bottom style="thin">
        <color rgb="FFB8B8B8"/>
      </bottom>
      <diagonal/>
    </border>
    <border>
      <left/>
      <right style="thin">
        <color rgb="FFB8B8B8"/>
      </right>
      <top style="thin">
        <color rgb="FFB8B8B8"/>
      </top>
      <bottom style="thin">
        <color rgb="FFB8B8B8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/>
    </xf>
    <xf numFmtId="164" fontId="5" fillId="0" borderId="1" xfId="0" applyNumberFormat="1" applyFont="1" applyBorder="1" applyAlignment="1">
      <alignment vertical="top" wrapText="1"/>
    </xf>
    <xf numFmtId="164" fontId="3" fillId="0" borderId="1" xfId="0" applyNumberFormat="1" applyFont="1" applyBorder="1" applyAlignment="1">
      <alignment vertical="top" wrapText="1"/>
    </xf>
    <xf numFmtId="0" fontId="6" fillId="0" borderId="1" xfId="0" applyFont="1" applyBorder="1"/>
    <xf numFmtId="165" fontId="6" fillId="5" borderId="1" xfId="0" applyNumberFormat="1" applyFont="1" applyFill="1" applyBorder="1"/>
    <xf numFmtId="0" fontId="6" fillId="0" borderId="1" xfId="0" applyFont="1" applyBorder="1" applyAlignment="1">
      <alignment vertical="top" wrapText="1"/>
    </xf>
    <xf numFmtId="0" fontId="3" fillId="0" borderId="1" xfId="0" applyFont="1" applyBorder="1"/>
    <xf numFmtId="2" fontId="3" fillId="0" borderId="1" xfId="0" applyNumberFormat="1" applyFont="1" applyBorder="1" applyAlignment="1">
      <alignment horizontal="center"/>
    </xf>
    <xf numFmtId="0" fontId="2" fillId="4" borderId="1" xfId="0" applyFont="1" applyFill="1" applyBorder="1" applyAlignment="1">
      <alignment horizontal="left" vertical="center" indent="1"/>
    </xf>
    <xf numFmtId="0" fontId="0" fillId="0" borderId="2" xfId="0" applyBorder="1"/>
    <xf numFmtId="0" fontId="0" fillId="0" borderId="3" xfId="0" applyBorder="1"/>
    <xf numFmtId="0" fontId="7" fillId="0" borderId="0" xfId="0" applyFont="1" applyAlignment="1">
      <alignment vertical="top" wrapText="1"/>
    </xf>
    <xf numFmtId="0" fontId="0" fillId="0" borderId="0" xfId="0"/>
    <xf numFmtId="0" fontId="1" fillId="2" borderId="0" xfId="0" applyFont="1" applyFill="1" applyAlignment="1">
      <alignment horizontal="left" vertical="center" indent="7"/>
    </xf>
    <xf numFmtId="0" fontId="1" fillId="2" borderId="0" xfId="0" applyFont="1" applyFill="1" applyAlignment="1">
      <alignment horizontal="left" vertical="center" inden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B8B8"/>
      <rgbColor rgb="FF808080"/>
      <rgbColor rgb="FF9999FF"/>
      <rgbColor rgb="FF993366"/>
      <rgbColor rgb="FFFFF2CC"/>
      <rgbColor rgb="FFDCE6F1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2E5E8C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" cy="762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dafruit.com/product/2874" TargetMode="External"/><Relationship Id="rId18" Type="http://schemas.openxmlformats.org/officeDocument/2006/relationships/hyperlink" Target="https://www.sparkfun.com/" TargetMode="External"/><Relationship Id="rId26" Type="http://schemas.openxmlformats.org/officeDocument/2006/relationships/hyperlink" Target="https://www.adafruit.com/product/2168" TargetMode="External"/><Relationship Id="rId3" Type="http://schemas.openxmlformats.org/officeDocument/2006/relationships/hyperlink" Target="https://www.raspberrypi.com/products/raspberry-pi-pico/" TargetMode="External"/><Relationship Id="rId21" Type="http://schemas.openxmlformats.org/officeDocument/2006/relationships/hyperlink" Target="https://biqu.equipment/products/bigtreetech-tmc2208-v3-0" TargetMode="External"/><Relationship Id="rId34" Type="http://schemas.openxmlformats.org/officeDocument/2006/relationships/hyperlink" Target="https://www.amazon.com/" TargetMode="External"/><Relationship Id="rId7" Type="http://schemas.openxmlformats.org/officeDocument/2006/relationships/hyperlink" Target="https://www.arducam.com/b0242-arducam-imx477-hq-camera.html" TargetMode="External"/><Relationship Id="rId12" Type="http://schemas.openxmlformats.org/officeDocument/2006/relationships/hyperlink" Target="https://www.edmundoptics.com/c/windows/" TargetMode="External"/><Relationship Id="rId17" Type="http://schemas.openxmlformats.org/officeDocument/2006/relationships/hyperlink" Target="https://www.adafruit.com/product/1057" TargetMode="External"/><Relationship Id="rId25" Type="http://schemas.openxmlformats.org/officeDocument/2006/relationships/hyperlink" Target="https://www.adafruit.com/product/815" TargetMode="External"/><Relationship Id="rId33" Type="http://schemas.openxmlformats.org/officeDocument/2006/relationships/hyperlink" Target="https://www.mcmaster.com/" TargetMode="External"/><Relationship Id="rId2" Type="http://schemas.openxmlformats.org/officeDocument/2006/relationships/hyperlink" Target="https://marketplace.nvidia.com/en-us/enterprise/robotics-edge/jetson-orin-nano-super-developer-kit/" TargetMode="External"/><Relationship Id="rId16" Type="http://schemas.openxmlformats.org/officeDocument/2006/relationships/hyperlink" Target="https://www.ledsupply.com/" TargetMode="External"/><Relationship Id="rId20" Type="http://schemas.openxmlformats.org/officeDocument/2006/relationships/hyperlink" Target="https://www.omc-stepperonline.com/nema-11-stepper-motor" TargetMode="External"/><Relationship Id="rId29" Type="http://schemas.openxmlformats.org/officeDocument/2006/relationships/hyperlink" Target="https://us.snapmaker.com/products/snapmaker-petg-filament" TargetMode="External"/><Relationship Id="rId1" Type="http://schemas.openxmlformats.org/officeDocument/2006/relationships/hyperlink" Target="https://category.yahboom.net/products/jetson-orin-nx" TargetMode="External"/><Relationship Id="rId6" Type="http://schemas.openxmlformats.org/officeDocument/2006/relationships/hyperlink" Target="https://www.arducam.com/blog/product/arducam-20mp-usb-3-0-camera-module-with-16mm-c-mount-lens-b0477/" TargetMode="External"/><Relationship Id="rId11" Type="http://schemas.openxmlformats.org/officeDocument/2006/relationships/hyperlink" Target="https://www.edmundoptics.com/c/polarizers/" TargetMode="External"/><Relationship Id="rId24" Type="http://schemas.openxmlformats.org/officeDocument/2006/relationships/hyperlink" Target="https://www.adafruit.com/product/1143" TargetMode="External"/><Relationship Id="rId32" Type="http://schemas.openxmlformats.org/officeDocument/2006/relationships/hyperlink" Target="https://www.mcmaster.com/" TargetMode="External"/><Relationship Id="rId5" Type="http://schemas.openxmlformats.org/officeDocument/2006/relationships/hyperlink" Target="https://www.pololu.com/category/76/step-down-voltage-regulators" TargetMode="External"/><Relationship Id="rId15" Type="http://schemas.openxmlformats.org/officeDocument/2006/relationships/hyperlink" Target="https://www.digikey.com/" TargetMode="External"/><Relationship Id="rId23" Type="http://schemas.openxmlformats.org/officeDocument/2006/relationships/hyperlink" Target="https://www.omc-stepperonline.com/nema-17-stepper-motor" TargetMode="External"/><Relationship Id="rId28" Type="http://schemas.openxmlformats.org/officeDocument/2006/relationships/hyperlink" Target="https://www.amazon.com/" TargetMode="External"/><Relationship Id="rId10" Type="http://schemas.openxmlformats.org/officeDocument/2006/relationships/hyperlink" Target="https://www.edmundoptics.com/" TargetMode="External"/><Relationship Id="rId19" Type="http://schemas.openxmlformats.org/officeDocument/2006/relationships/hyperlink" Target="https://www.amazon.com/" TargetMode="External"/><Relationship Id="rId31" Type="http://schemas.openxmlformats.org/officeDocument/2006/relationships/hyperlink" Target="https://us.snapmaker.com/" TargetMode="External"/><Relationship Id="rId4" Type="http://schemas.openxmlformats.org/officeDocument/2006/relationships/hyperlink" Target="https://www.westerndigital.com/" TargetMode="External"/><Relationship Id="rId9" Type="http://schemas.openxmlformats.org/officeDocument/2006/relationships/hyperlink" Target="https://www.arducam.com/product-category/accessories/lenses/" TargetMode="External"/><Relationship Id="rId14" Type="http://schemas.openxmlformats.org/officeDocument/2006/relationships/hyperlink" Target="https://www.ledsupply.com/leds/uv-ultraviolet-power-leds" TargetMode="External"/><Relationship Id="rId22" Type="http://schemas.openxmlformats.org/officeDocument/2006/relationships/hyperlink" Target="https://www.amazon.com/" TargetMode="External"/><Relationship Id="rId27" Type="http://schemas.openxmlformats.org/officeDocument/2006/relationships/hyperlink" Target="https://www.digikey.com/" TargetMode="External"/><Relationship Id="rId30" Type="http://schemas.openxmlformats.org/officeDocument/2006/relationships/hyperlink" Target="https://us.snapmaker.com/" TargetMode="External"/><Relationship Id="rId35" Type="http://schemas.openxmlformats.org/officeDocument/2006/relationships/drawing" Target="../drawings/drawing1.xml"/><Relationship Id="rId8" Type="http://schemas.openxmlformats.org/officeDocument/2006/relationships/hyperlink" Target="https://www.arducam.com/product-category/accessories/lens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"/>
  <sheetViews>
    <sheetView tabSelected="1" zoomScaleNormal="100" workbookViewId="0">
      <pane ySplit="3" topLeftCell="A4" activePane="bottomLeft" state="frozen"/>
      <selection pane="bottomLeft" sqref="A1:K1"/>
    </sheetView>
  </sheetViews>
  <sheetFormatPr baseColWidth="10" defaultColWidth="8.6640625" defaultRowHeight="15" x14ac:dyDescent="0.2"/>
  <cols>
    <col min="1" max="1" width="40" customWidth="1"/>
    <col min="2" max="2" width="26" customWidth="1"/>
    <col min="3" max="3" width="38" customWidth="1"/>
    <col min="4" max="4" width="48" customWidth="1"/>
    <col min="5" max="5" width="6" customWidth="1"/>
    <col min="6" max="6" width="11" customWidth="1"/>
    <col min="7" max="8" width="14" customWidth="1"/>
    <col min="9" max="10" width="8" customWidth="1"/>
    <col min="11" max="11" width="24" customWidth="1"/>
  </cols>
  <sheetData>
    <row r="1" spans="1:11" ht="64" customHeight="1" x14ac:dyDescent="0.2">
      <c r="A1" s="17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3" spans="1:11" ht="32.75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</row>
    <row r="4" spans="1:11" ht="17.25" customHeight="1" x14ac:dyDescent="0.2">
      <c r="A4" s="12" t="s">
        <v>12</v>
      </c>
      <c r="B4" s="13"/>
      <c r="C4" s="13"/>
      <c r="D4" s="13"/>
      <c r="E4" s="13"/>
      <c r="F4" s="13"/>
      <c r="G4" s="13"/>
      <c r="H4" s="13"/>
      <c r="I4" s="13"/>
      <c r="J4" s="13"/>
      <c r="K4" s="14"/>
    </row>
    <row r="5" spans="1:11" ht="126.75" customHeight="1" x14ac:dyDescent="0.2">
      <c r="A5" s="2" t="s">
        <v>13</v>
      </c>
      <c r="B5" s="2" t="s">
        <v>14</v>
      </c>
      <c r="C5" s="3" t="s">
        <v>15</v>
      </c>
      <c r="D5" s="2" t="s">
        <v>16</v>
      </c>
      <c r="E5" s="4">
        <v>1</v>
      </c>
      <c r="F5" s="5">
        <v>789</v>
      </c>
      <c r="G5" s="6">
        <f>IF(I5="Y",E5*F5,0)</f>
        <v>789</v>
      </c>
      <c r="H5" s="6">
        <f>IF(J5="Y",E5*F5,0)</f>
        <v>0</v>
      </c>
      <c r="I5" s="4" t="s">
        <v>17</v>
      </c>
      <c r="J5" s="4" t="s">
        <v>18</v>
      </c>
      <c r="K5" s="2" t="s">
        <v>19</v>
      </c>
    </row>
    <row r="6" spans="1:11" ht="48.5" customHeight="1" x14ac:dyDescent="0.2">
      <c r="A6" s="2" t="s">
        <v>20</v>
      </c>
      <c r="B6" s="2" t="s">
        <v>21</v>
      </c>
      <c r="C6" s="3" t="s">
        <v>22</v>
      </c>
      <c r="D6" s="2" t="s">
        <v>23</v>
      </c>
      <c r="E6" s="4">
        <v>1</v>
      </c>
      <c r="F6" s="5">
        <v>249</v>
      </c>
      <c r="G6" s="6">
        <f>IF(I6="Y",E6*F6,0)</f>
        <v>0</v>
      </c>
      <c r="H6" s="6">
        <f>IF(J6="Y",E6*F6,0)</f>
        <v>249</v>
      </c>
      <c r="I6" s="4" t="s">
        <v>18</v>
      </c>
      <c r="J6" s="4" t="s">
        <v>17</v>
      </c>
      <c r="K6" s="2" t="s">
        <v>24</v>
      </c>
    </row>
    <row r="7" spans="1:11" ht="32.75" customHeight="1" x14ac:dyDescent="0.2">
      <c r="A7" s="2" t="s">
        <v>25</v>
      </c>
      <c r="B7" s="2" t="s">
        <v>26</v>
      </c>
      <c r="C7" s="3" t="s">
        <v>27</v>
      </c>
      <c r="D7" s="2" t="s">
        <v>28</v>
      </c>
      <c r="E7" s="4">
        <v>1</v>
      </c>
      <c r="F7" s="5">
        <v>5</v>
      </c>
      <c r="G7" s="6">
        <f>IF(I7="Y",E7*F7,0)</f>
        <v>5</v>
      </c>
      <c r="H7" s="6">
        <f>IF(J7="Y",E7*F7,0)</f>
        <v>5</v>
      </c>
      <c r="I7" s="4" t="s">
        <v>17</v>
      </c>
      <c r="J7" s="4" t="s">
        <v>17</v>
      </c>
      <c r="K7" s="2" t="s">
        <v>29</v>
      </c>
    </row>
    <row r="8" spans="1:11" ht="48.5" customHeight="1" x14ac:dyDescent="0.2">
      <c r="A8" s="2" t="s">
        <v>30</v>
      </c>
      <c r="B8" s="2" t="s">
        <v>31</v>
      </c>
      <c r="C8" s="3" t="s">
        <v>32</v>
      </c>
      <c r="D8" s="2" t="s">
        <v>33</v>
      </c>
      <c r="E8" s="4">
        <v>1</v>
      </c>
      <c r="F8" s="5">
        <v>45</v>
      </c>
      <c r="G8" s="6">
        <f>IF(I8="Y",E8*F8,0)</f>
        <v>0</v>
      </c>
      <c r="H8" s="6">
        <f>IF(J8="Y",E8*F8,0)</f>
        <v>45</v>
      </c>
      <c r="I8" s="4" t="s">
        <v>18</v>
      </c>
      <c r="J8" s="4" t="s">
        <v>17</v>
      </c>
      <c r="K8" s="2" t="s">
        <v>34</v>
      </c>
    </row>
    <row r="9" spans="1:11" ht="32.75" customHeight="1" x14ac:dyDescent="0.2">
      <c r="A9" s="2" t="s">
        <v>35</v>
      </c>
      <c r="B9" s="2" t="s">
        <v>36</v>
      </c>
      <c r="C9" s="3" t="s">
        <v>37</v>
      </c>
      <c r="D9" s="2" t="s">
        <v>38</v>
      </c>
      <c r="E9" s="4">
        <v>1</v>
      </c>
      <c r="F9" s="5">
        <v>25</v>
      </c>
      <c r="G9" s="6">
        <f>IF(I9="Y",E9*F9,0)</f>
        <v>25</v>
      </c>
      <c r="H9" s="6">
        <f>IF(J9="Y",E9*F9,0)</f>
        <v>25</v>
      </c>
      <c r="I9" s="4" t="s">
        <v>17</v>
      </c>
      <c r="J9" s="4" t="s">
        <v>17</v>
      </c>
      <c r="K9" s="2" t="s">
        <v>39</v>
      </c>
    </row>
    <row r="10" spans="1:11" ht="17.25" customHeight="1" x14ac:dyDescent="0.2">
      <c r="A10" s="12" t="s">
        <v>40</v>
      </c>
      <c r="B10" s="13"/>
      <c r="C10" s="13"/>
      <c r="D10" s="13"/>
      <c r="E10" s="13"/>
      <c r="F10" s="13"/>
      <c r="G10" s="13"/>
      <c r="H10" s="13"/>
      <c r="I10" s="13"/>
      <c r="J10" s="13"/>
      <c r="K10" s="14"/>
    </row>
    <row r="11" spans="1:11" ht="95.5" customHeight="1" x14ac:dyDescent="0.2">
      <c r="A11" s="2" t="s">
        <v>41</v>
      </c>
      <c r="B11" s="2" t="s">
        <v>42</v>
      </c>
      <c r="C11" s="3" t="s">
        <v>43</v>
      </c>
      <c r="D11" s="2" t="s">
        <v>44</v>
      </c>
      <c r="E11" s="4">
        <v>2</v>
      </c>
      <c r="F11" s="5">
        <v>199</v>
      </c>
      <c r="G11" s="6">
        <f t="shared" ref="G11:G17" si="0">IF(I11="Y",E11*F11,0)</f>
        <v>398</v>
      </c>
      <c r="H11" s="6">
        <f t="shared" ref="H11:H17" si="1">IF(J11="Y",E11*F11,0)</f>
        <v>0</v>
      </c>
      <c r="I11" s="4" t="s">
        <v>17</v>
      </c>
      <c r="J11" s="4" t="s">
        <v>18</v>
      </c>
      <c r="K11" s="2" t="s">
        <v>45</v>
      </c>
    </row>
    <row r="12" spans="1:11" ht="32.75" customHeight="1" x14ac:dyDescent="0.2">
      <c r="A12" s="2" t="s">
        <v>46</v>
      </c>
      <c r="B12" s="2" t="s">
        <v>47</v>
      </c>
      <c r="C12" s="3" t="s">
        <v>48</v>
      </c>
      <c r="D12" s="2" t="s">
        <v>49</v>
      </c>
      <c r="E12" s="4">
        <v>2</v>
      </c>
      <c r="F12" s="5">
        <v>70</v>
      </c>
      <c r="G12" s="6">
        <f t="shared" si="0"/>
        <v>0</v>
      </c>
      <c r="H12" s="6">
        <f t="shared" si="1"/>
        <v>140</v>
      </c>
      <c r="I12" s="4" t="s">
        <v>18</v>
      </c>
      <c r="J12" s="4" t="s">
        <v>17</v>
      </c>
      <c r="K12" s="2" t="s">
        <v>50</v>
      </c>
    </row>
    <row r="13" spans="1:11" ht="48.5" customHeight="1" x14ac:dyDescent="0.2">
      <c r="A13" s="2" t="s">
        <v>51</v>
      </c>
      <c r="B13" s="2" t="s">
        <v>52</v>
      </c>
      <c r="C13" s="3" t="s">
        <v>53</v>
      </c>
      <c r="D13" s="2" t="s">
        <v>54</v>
      </c>
      <c r="E13" s="4">
        <v>1</v>
      </c>
      <c r="F13" s="5">
        <v>45</v>
      </c>
      <c r="G13" s="6">
        <f t="shared" si="0"/>
        <v>0</v>
      </c>
      <c r="H13" s="6">
        <f t="shared" si="1"/>
        <v>45</v>
      </c>
      <c r="I13" s="4" t="s">
        <v>18</v>
      </c>
      <c r="J13" s="4" t="s">
        <v>17</v>
      </c>
      <c r="K13" s="2" t="s">
        <v>55</v>
      </c>
    </row>
    <row r="14" spans="1:11" ht="32.75" customHeight="1" x14ac:dyDescent="0.2">
      <c r="A14" s="2" t="s">
        <v>56</v>
      </c>
      <c r="B14" s="2" t="s">
        <v>57</v>
      </c>
      <c r="C14" s="3" t="s">
        <v>53</v>
      </c>
      <c r="D14" s="2" t="s">
        <v>58</v>
      </c>
      <c r="E14" s="4">
        <v>1</v>
      </c>
      <c r="F14" s="5">
        <v>25</v>
      </c>
      <c r="G14" s="6">
        <f t="shared" si="0"/>
        <v>0</v>
      </c>
      <c r="H14" s="6">
        <f t="shared" si="1"/>
        <v>25</v>
      </c>
      <c r="I14" s="4" t="s">
        <v>18</v>
      </c>
      <c r="J14" s="4" t="s">
        <v>17</v>
      </c>
      <c r="K14" s="2" t="s">
        <v>50</v>
      </c>
    </row>
    <row r="15" spans="1:11" ht="32.75" customHeight="1" x14ac:dyDescent="0.2">
      <c r="A15" s="2" t="s">
        <v>59</v>
      </c>
      <c r="B15" s="2" t="s">
        <v>60</v>
      </c>
      <c r="C15" s="3" t="s">
        <v>61</v>
      </c>
      <c r="D15" s="2" t="s">
        <v>62</v>
      </c>
      <c r="E15" s="4">
        <v>1</v>
      </c>
      <c r="F15" s="5">
        <v>12</v>
      </c>
      <c r="G15" s="6">
        <f t="shared" si="0"/>
        <v>12</v>
      </c>
      <c r="H15" s="6">
        <f t="shared" si="1"/>
        <v>12</v>
      </c>
      <c r="I15" s="4" t="s">
        <v>17</v>
      </c>
      <c r="J15" s="4" t="s">
        <v>17</v>
      </c>
      <c r="K15" s="2" t="s">
        <v>63</v>
      </c>
    </row>
    <row r="16" spans="1:11" ht="32.75" customHeight="1" x14ac:dyDescent="0.2">
      <c r="A16" s="2" t="s">
        <v>64</v>
      </c>
      <c r="B16" s="2" t="s">
        <v>65</v>
      </c>
      <c r="C16" s="3" t="s">
        <v>66</v>
      </c>
      <c r="D16" s="2" t="s">
        <v>67</v>
      </c>
      <c r="E16" s="4">
        <v>1</v>
      </c>
      <c r="F16" s="5">
        <v>12</v>
      </c>
      <c r="G16" s="6">
        <f t="shared" si="0"/>
        <v>12</v>
      </c>
      <c r="H16" s="6">
        <f t="shared" si="1"/>
        <v>12</v>
      </c>
      <c r="I16" s="4" t="s">
        <v>17</v>
      </c>
      <c r="J16" s="4" t="s">
        <v>17</v>
      </c>
      <c r="K16" s="2" t="s">
        <v>68</v>
      </c>
    </row>
    <row r="17" spans="1:11" ht="32.75" customHeight="1" x14ac:dyDescent="0.2">
      <c r="A17" s="2" t="s">
        <v>69</v>
      </c>
      <c r="B17" s="2" t="s">
        <v>70</v>
      </c>
      <c r="C17" s="3" t="s">
        <v>71</v>
      </c>
      <c r="D17" s="2" t="s">
        <v>72</v>
      </c>
      <c r="E17" s="4">
        <v>1</v>
      </c>
      <c r="F17" s="5">
        <v>20</v>
      </c>
      <c r="G17" s="6">
        <f t="shared" si="0"/>
        <v>20</v>
      </c>
      <c r="H17" s="6">
        <f t="shared" si="1"/>
        <v>20</v>
      </c>
      <c r="I17" s="4" t="s">
        <v>17</v>
      </c>
      <c r="J17" s="4" t="s">
        <v>17</v>
      </c>
      <c r="K17" s="2" t="s">
        <v>73</v>
      </c>
    </row>
    <row r="18" spans="1:11" ht="17.25" customHeight="1" x14ac:dyDescent="0.2">
      <c r="A18" s="12" t="s">
        <v>74</v>
      </c>
      <c r="B18" s="13"/>
      <c r="C18" s="13"/>
      <c r="D18" s="13"/>
      <c r="E18" s="13"/>
      <c r="F18" s="13"/>
      <c r="G18" s="13"/>
      <c r="H18" s="13"/>
      <c r="I18" s="13"/>
      <c r="J18" s="13"/>
      <c r="K18" s="14"/>
    </row>
    <row r="19" spans="1:11" ht="32.75" customHeight="1" x14ac:dyDescent="0.2">
      <c r="A19" s="2" t="s">
        <v>75</v>
      </c>
      <c r="B19" s="2" t="s">
        <v>76</v>
      </c>
      <c r="C19" s="3" t="s">
        <v>77</v>
      </c>
      <c r="D19" s="2" t="s">
        <v>78</v>
      </c>
      <c r="E19" s="4">
        <v>2</v>
      </c>
      <c r="F19" s="5">
        <v>17</v>
      </c>
      <c r="G19" s="6">
        <f t="shared" ref="G19:G24" si="2">IF(I19="Y",E19*F19,0)</f>
        <v>34</v>
      </c>
      <c r="H19" s="6">
        <f t="shared" ref="H19:H24" si="3">IF(J19="Y",E19*F19,0)</f>
        <v>34</v>
      </c>
      <c r="I19" s="4" t="s">
        <v>17</v>
      </c>
      <c r="J19" s="4" t="s">
        <v>17</v>
      </c>
      <c r="K19" s="2" t="s">
        <v>79</v>
      </c>
    </row>
    <row r="20" spans="1:11" ht="32.75" customHeight="1" x14ac:dyDescent="0.2">
      <c r="A20" s="2" t="s">
        <v>80</v>
      </c>
      <c r="B20" s="2" t="s">
        <v>81</v>
      </c>
      <c r="C20" s="3" t="s">
        <v>82</v>
      </c>
      <c r="D20" s="2" t="s">
        <v>83</v>
      </c>
      <c r="E20" s="4">
        <v>2</v>
      </c>
      <c r="F20" s="5">
        <v>9</v>
      </c>
      <c r="G20" s="6">
        <f t="shared" si="2"/>
        <v>18</v>
      </c>
      <c r="H20" s="6">
        <f t="shared" si="3"/>
        <v>18</v>
      </c>
      <c r="I20" s="4" t="s">
        <v>17</v>
      </c>
      <c r="J20" s="4" t="s">
        <v>17</v>
      </c>
      <c r="K20" s="2" t="s">
        <v>84</v>
      </c>
    </row>
    <row r="21" spans="1:11" ht="17.25" customHeight="1" x14ac:dyDescent="0.2">
      <c r="A21" s="2" t="s">
        <v>85</v>
      </c>
      <c r="B21" s="2" t="s">
        <v>86</v>
      </c>
      <c r="C21" s="3" t="s">
        <v>87</v>
      </c>
      <c r="D21" s="2" t="s">
        <v>88</v>
      </c>
      <c r="E21" s="4">
        <v>2</v>
      </c>
      <c r="F21" s="5">
        <v>4</v>
      </c>
      <c r="G21" s="6">
        <f t="shared" si="2"/>
        <v>8</v>
      </c>
      <c r="H21" s="6">
        <f t="shared" si="3"/>
        <v>8</v>
      </c>
      <c r="I21" s="4" t="s">
        <v>17</v>
      </c>
      <c r="J21" s="4" t="s">
        <v>17</v>
      </c>
      <c r="K21" s="2" t="s">
        <v>89</v>
      </c>
    </row>
    <row r="22" spans="1:11" ht="32.75" customHeight="1" x14ac:dyDescent="0.2">
      <c r="A22" s="2" t="s">
        <v>90</v>
      </c>
      <c r="B22" s="2" t="s">
        <v>91</v>
      </c>
      <c r="C22" s="3" t="s">
        <v>92</v>
      </c>
      <c r="D22" s="2" t="s">
        <v>93</v>
      </c>
      <c r="E22" s="4">
        <v>4</v>
      </c>
      <c r="F22" s="5">
        <v>2.5</v>
      </c>
      <c r="G22" s="6">
        <f t="shared" si="2"/>
        <v>10</v>
      </c>
      <c r="H22" s="6">
        <f t="shared" si="3"/>
        <v>10</v>
      </c>
      <c r="I22" s="4" t="s">
        <v>17</v>
      </c>
      <c r="J22" s="4" t="s">
        <v>17</v>
      </c>
      <c r="K22" s="2" t="s">
        <v>84</v>
      </c>
    </row>
    <row r="23" spans="1:11" ht="32.75" customHeight="1" x14ac:dyDescent="0.2">
      <c r="A23" s="2" t="s">
        <v>94</v>
      </c>
      <c r="B23" s="2" t="s">
        <v>95</v>
      </c>
      <c r="C23" s="3" t="s">
        <v>96</v>
      </c>
      <c r="D23" s="2" t="s">
        <v>97</v>
      </c>
      <c r="E23" s="4">
        <v>1</v>
      </c>
      <c r="F23" s="5">
        <v>14</v>
      </c>
      <c r="G23" s="6">
        <f t="shared" si="2"/>
        <v>14</v>
      </c>
      <c r="H23" s="6">
        <f t="shared" si="3"/>
        <v>14</v>
      </c>
      <c r="I23" s="4" t="s">
        <v>17</v>
      </c>
      <c r="J23" s="4" t="s">
        <v>17</v>
      </c>
      <c r="K23" s="2" t="s">
        <v>98</v>
      </c>
    </row>
    <row r="24" spans="1:11" ht="32.75" customHeight="1" x14ac:dyDescent="0.2">
      <c r="A24" s="2" t="s">
        <v>99</v>
      </c>
      <c r="B24" s="2" t="s">
        <v>100</v>
      </c>
      <c r="C24" s="3" t="s">
        <v>101</v>
      </c>
      <c r="D24" s="2" t="s">
        <v>102</v>
      </c>
      <c r="E24" s="4">
        <v>2</v>
      </c>
      <c r="F24" s="5">
        <v>6</v>
      </c>
      <c r="G24" s="6">
        <f t="shared" si="2"/>
        <v>12</v>
      </c>
      <c r="H24" s="6">
        <f t="shared" si="3"/>
        <v>12</v>
      </c>
      <c r="I24" s="4" t="s">
        <v>17</v>
      </c>
      <c r="J24" s="4" t="s">
        <v>17</v>
      </c>
      <c r="K24" s="2" t="s">
        <v>103</v>
      </c>
    </row>
    <row r="25" spans="1:11" ht="17.25" customHeight="1" x14ac:dyDescent="0.2">
      <c r="A25" s="12" t="s">
        <v>104</v>
      </c>
      <c r="B25" s="13"/>
      <c r="C25" s="13"/>
      <c r="D25" s="13"/>
      <c r="E25" s="13"/>
      <c r="F25" s="13"/>
      <c r="G25" s="13"/>
      <c r="H25" s="13"/>
      <c r="I25" s="13"/>
      <c r="J25" s="13"/>
      <c r="K25" s="14"/>
    </row>
    <row r="26" spans="1:11" ht="32.75" customHeight="1" x14ac:dyDescent="0.2">
      <c r="A26" s="2" t="s">
        <v>105</v>
      </c>
      <c r="B26" s="2" t="s">
        <v>106</v>
      </c>
      <c r="C26" s="3" t="s">
        <v>107</v>
      </c>
      <c r="D26" s="2" t="s">
        <v>108</v>
      </c>
      <c r="E26" s="4">
        <v>1</v>
      </c>
      <c r="F26" s="5">
        <v>9</v>
      </c>
      <c r="G26" s="6">
        <f>IF(I26="Y",E26*F26,0)</f>
        <v>9</v>
      </c>
      <c r="H26" s="6">
        <f>IF(J26="Y",E26*F26,0)</f>
        <v>0</v>
      </c>
      <c r="I26" s="4" t="s">
        <v>17</v>
      </c>
      <c r="J26" s="4" t="s">
        <v>18</v>
      </c>
      <c r="K26" s="2" t="s">
        <v>109</v>
      </c>
    </row>
    <row r="27" spans="1:11" ht="32.75" customHeight="1" x14ac:dyDescent="0.2">
      <c r="A27" s="2" t="s">
        <v>110</v>
      </c>
      <c r="B27" s="2" t="s">
        <v>111</v>
      </c>
      <c r="C27" s="3" t="s">
        <v>112</v>
      </c>
      <c r="D27" s="2" t="s">
        <v>113</v>
      </c>
      <c r="E27" s="4">
        <v>1</v>
      </c>
      <c r="F27" s="5">
        <v>18</v>
      </c>
      <c r="G27" s="6">
        <f>IF(I27="Y",E27*F27,0)</f>
        <v>18</v>
      </c>
      <c r="H27" s="6">
        <f>IF(J27="Y",E27*F27,0)</f>
        <v>0</v>
      </c>
      <c r="I27" s="4" t="s">
        <v>17</v>
      </c>
      <c r="J27" s="4" t="s">
        <v>18</v>
      </c>
      <c r="K27" s="2" t="s">
        <v>114</v>
      </c>
    </row>
    <row r="28" spans="1:11" ht="32.75" customHeight="1" x14ac:dyDescent="0.2">
      <c r="A28" s="2" t="s">
        <v>115</v>
      </c>
      <c r="B28" s="2" t="s">
        <v>116</v>
      </c>
      <c r="C28" s="3" t="s">
        <v>117</v>
      </c>
      <c r="D28" s="2" t="s">
        <v>118</v>
      </c>
      <c r="E28" s="4">
        <v>1</v>
      </c>
      <c r="F28" s="5">
        <v>6</v>
      </c>
      <c r="G28" s="6">
        <f>IF(I28="Y",E28*F28,0)</f>
        <v>6</v>
      </c>
      <c r="H28" s="6">
        <f>IF(J28="Y",E28*F28,0)</f>
        <v>0</v>
      </c>
      <c r="I28" s="4" t="s">
        <v>17</v>
      </c>
      <c r="J28" s="4" t="s">
        <v>18</v>
      </c>
      <c r="K28" s="2" t="s">
        <v>119</v>
      </c>
    </row>
    <row r="29" spans="1:11" ht="32.75" customHeight="1" x14ac:dyDescent="0.2">
      <c r="A29" s="2" t="s">
        <v>120</v>
      </c>
      <c r="B29" s="2" t="s">
        <v>121</v>
      </c>
      <c r="C29" s="3" t="s">
        <v>107</v>
      </c>
      <c r="D29" s="2" t="s">
        <v>122</v>
      </c>
      <c r="E29" s="4">
        <v>1</v>
      </c>
      <c r="F29" s="5">
        <v>3</v>
      </c>
      <c r="G29" s="6">
        <f>IF(I29="Y",E29*F29,0)</f>
        <v>3</v>
      </c>
      <c r="H29" s="6">
        <f>IF(J29="Y",E29*F29,0)</f>
        <v>0</v>
      </c>
      <c r="I29" s="4" t="s">
        <v>17</v>
      </c>
      <c r="J29" s="4" t="s">
        <v>18</v>
      </c>
      <c r="K29" s="2" t="s">
        <v>123</v>
      </c>
    </row>
    <row r="30" spans="1:11" ht="17.25" customHeight="1" x14ac:dyDescent="0.2">
      <c r="A30" s="12" t="s">
        <v>124</v>
      </c>
      <c r="B30" s="13"/>
      <c r="C30" s="13"/>
      <c r="D30" s="13"/>
      <c r="E30" s="13"/>
      <c r="F30" s="13"/>
      <c r="G30" s="13"/>
      <c r="H30" s="13"/>
      <c r="I30" s="13"/>
      <c r="J30" s="13"/>
      <c r="K30" s="14"/>
    </row>
    <row r="31" spans="1:11" ht="32.75" customHeight="1" x14ac:dyDescent="0.2">
      <c r="A31" s="2" t="s">
        <v>125</v>
      </c>
      <c r="B31" s="2" t="s">
        <v>126</v>
      </c>
      <c r="C31" s="3" t="s">
        <v>127</v>
      </c>
      <c r="D31" s="2" t="s">
        <v>128</v>
      </c>
      <c r="E31" s="4">
        <v>1</v>
      </c>
      <c r="F31" s="5">
        <v>16</v>
      </c>
      <c r="G31" s="6">
        <f>IF(I31="Y",E31*F31,0)</f>
        <v>16</v>
      </c>
      <c r="H31" s="6">
        <f>IF(J31="Y",E31*F31,0)</f>
        <v>16</v>
      </c>
      <c r="I31" s="4" t="s">
        <v>17</v>
      </c>
      <c r="J31" s="4" t="s">
        <v>17</v>
      </c>
      <c r="K31" s="2" t="s">
        <v>114</v>
      </c>
    </row>
    <row r="32" spans="1:11" ht="32.75" customHeight="1" x14ac:dyDescent="0.2">
      <c r="A32" s="2" t="s">
        <v>129</v>
      </c>
      <c r="B32" s="2" t="s">
        <v>130</v>
      </c>
      <c r="C32" s="3" t="s">
        <v>131</v>
      </c>
      <c r="D32" s="2" t="s">
        <v>132</v>
      </c>
      <c r="E32" s="4">
        <v>10</v>
      </c>
      <c r="F32" s="5">
        <v>4</v>
      </c>
      <c r="G32" s="6">
        <f>IF(I32="Y",E32*F32,0)</f>
        <v>40</v>
      </c>
      <c r="H32" s="6">
        <f>IF(J32="Y",E32*F32,0)</f>
        <v>40</v>
      </c>
      <c r="I32" s="4" t="s">
        <v>17</v>
      </c>
      <c r="J32" s="4" t="s">
        <v>17</v>
      </c>
      <c r="K32" s="2" t="s">
        <v>98</v>
      </c>
    </row>
    <row r="33" spans="1:11" ht="17.25" customHeight="1" x14ac:dyDescent="0.2">
      <c r="A33" s="2" t="s">
        <v>133</v>
      </c>
      <c r="B33" s="2" t="s">
        <v>134</v>
      </c>
      <c r="C33" s="3" t="s">
        <v>135</v>
      </c>
      <c r="D33" s="2" t="s">
        <v>136</v>
      </c>
      <c r="E33" s="4">
        <v>1</v>
      </c>
      <c r="F33" s="5">
        <v>6</v>
      </c>
      <c r="G33" s="6">
        <f>IF(I33="Y",E33*F33,0)</f>
        <v>6</v>
      </c>
      <c r="H33" s="6">
        <f>IF(J33="Y",E33*F33,0)</f>
        <v>6</v>
      </c>
      <c r="I33" s="4" t="s">
        <v>17</v>
      </c>
      <c r="J33" s="4" t="s">
        <v>17</v>
      </c>
      <c r="K33" s="2" t="s">
        <v>79</v>
      </c>
    </row>
    <row r="34" spans="1:11" ht="32.75" customHeight="1" x14ac:dyDescent="0.2">
      <c r="A34" s="2" t="s">
        <v>137</v>
      </c>
      <c r="B34" s="2" t="s">
        <v>138</v>
      </c>
      <c r="C34" s="3" t="s">
        <v>139</v>
      </c>
      <c r="D34" s="2" t="s">
        <v>140</v>
      </c>
      <c r="E34" s="4">
        <v>3</v>
      </c>
      <c r="F34" s="5">
        <v>3</v>
      </c>
      <c r="G34" s="6">
        <f>IF(I34="Y",E34*F34,0)</f>
        <v>9</v>
      </c>
      <c r="H34" s="6">
        <f>IF(J34="Y",E34*F34,0)</f>
        <v>9</v>
      </c>
      <c r="I34" s="4" t="s">
        <v>17</v>
      </c>
      <c r="J34" s="4" t="s">
        <v>17</v>
      </c>
      <c r="K34" s="2" t="s">
        <v>79</v>
      </c>
    </row>
    <row r="35" spans="1:11" ht="17.25" customHeight="1" x14ac:dyDescent="0.2">
      <c r="A35" s="2" t="s">
        <v>141</v>
      </c>
      <c r="B35" s="2" t="s">
        <v>142</v>
      </c>
      <c r="C35" s="3" t="s">
        <v>87</v>
      </c>
      <c r="D35" s="2" t="s">
        <v>143</v>
      </c>
      <c r="E35" s="4">
        <v>1</v>
      </c>
      <c r="F35" s="5">
        <v>2</v>
      </c>
      <c r="G35" s="6">
        <f>IF(I35="Y",E35*F35,0)</f>
        <v>2</v>
      </c>
      <c r="H35" s="6">
        <f>IF(J35="Y",E35*F35,0)</f>
        <v>2</v>
      </c>
      <c r="I35" s="4" t="s">
        <v>17</v>
      </c>
      <c r="J35" s="4" t="s">
        <v>17</v>
      </c>
      <c r="K35" s="2" t="s">
        <v>89</v>
      </c>
    </row>
    <row r="36" spans="1:11" ht="17.25" customHeight="1" x14ac:dyDescent="0.2">
      <c r="A36" s="12" t="s">
        <v>144</v>
      </c>
      <c r="B36" s="13"/>
      <c r="C36" s="13"/>
      <c r="D36" s="13"/>
      <c r="E36" s="13"/>
      <c r="F36" s="13"/>
      <c r="G36" s="13"/>
      <c r="H36" s="13"/>
      <c r="I36" s="13"/>
      <c r="J36" s="13"/>
      <c r="K36" s="14"/>
    </row>
    <row r="37" spans="1:11" ht="32.75" customHeight="1" x14ac:dyDescent="0.2">
      <c r="A37" s="2" t="s">
        <v>145</v>
      </c>
      <c r="B37" s="2" t="s">
        <v>146</v>
      </c>
      <c r="C37" s="3" t="s">
        <v>107</v>
      </c>
      <c r="D37" s="2" t="s">
        <v>147</v>
      </c>
      <c r="E37" s="4">
        <v>2</v>
      </c>
      <c r="F37" s="5">
        <v>8</v>
      </c>
      <c r="G37" s="6">
        <f t="shared" ref="G37:G43" si="4">IF(I37="Y",E37*F37,0)</f>
        <v>16</v>
      </c>
      <c r="H37" s="6">
        <f t="shared" ref="H37:H43" si="5">IF(J37="Y",E37*F37,0)</f>
        <v>16</v>
      </c>
      <c r="I37" s="4" t="s">
        <v>17</v>
      </c>
      <c r="J37" s="4" t="s">
        <v>17</v>
      </c>
      <c r="K37" s="2" t="s">
        <v>148</v>
      </c>
    </row>
    <row r="38" spans="1:11" ht="32.75" customHeight="1" x14ac:dyDescent="0.2">
      <c r="A38" s="2" t="s">
        <v>149</v>
      </c>
      <c r="B38" s="2" t="s">
        <v>150</v>
      </c>
      <c r="C38" s="3" t="s">
        <v>151</v>
      </c>
      <c r="D38" s="2" t="s">
        <v>152</v>
      </c>
      <c r="E38" s="4">
        <v>3</v>
      </c>
      <c r="F38" s="5">
        <v>20</v>
      </c>
      <c r="G38" s="6">
        <f t="shared" si="4"/>
        <v>60</v>
      </c>
      <c r="H38" s="6">
        <f t="shared" si="5"/>
        <v>60</v>
      </c>
      <c r="I38" s="4" t="s">
        <v>17</v>
      </c>
      <c r="J38" s="4" t="s">
        <v>17</v>
      </c>
      <c r="K38" s="2" t="s">
        <v>153</v>
      </c>
    </row>
    <row r="39" spans="1:11" ht="32.75" customHeight="1" x14ac:dyDescent="0.2">
      <c r="A39" s="2" t="s">
        <v>154</v>
      </c>
      <c r="B39" s="2" t="s">
        <v>155</v>
      </c>
      <c r="C39" s="3" t="s">
        <v>156</v>
      </c>
      <c r="D39" s="2" t="s">
        <v>157</v>
      </c>
      <c r="E39" s="4">
        <v>1</v>
      </c>
      <c r="F39" s="5">
        <v>25</v>
      </c>
      <c r="G39" s="6">
        <f t="shared" si="4"/>
        <v>25</v>
      </c>
      <c r="H39" s="6">
        <f t="shared" si="5"/>
        <v>25</v>
      </c>
      <c r="I39" s="4" t="s">
        <v>17</v>
      </c>
      <c r="J39" s="4" t="s">
        <v>17</v>
      </c>
      <c r="K39" s="2" t="s">
        <v>153</v>
      </c>
    </row>
    <row r="40" spans="1:11" ht="32.75" customHeight="1" x14ac:dyDescent="0.2">
      <c r="A40" s="2" t="s">
        <v>158</v>
      </c>
      <c r="B40" s="2" t="s">
        <v>159</v>
      </c>
      <c r="C40" s="3" t="s">
        <v>156</v>
      </c>
      <c r="D40" s="2" t="s">
        <v>160</v>
      </c>
      <c r="E40" s="4">
        <v>1</v>
      </c>
      <c r="F40" s="5">
        <v>20</v>
      </c>
      <c r="G40" s="6">
        <f t="shared" si="4"/>
        <v>20</v>
      </c>
      <c r="H40" s="6">
        <f t="shared" si="5"/>
        <v>20</v>
      </c>
      <c r="I40" s="4" t="s">
        <v>17</v>
      </c>
      <c r="J40" s="4" t="s">
        <v>17</v>
      </c>
      <c r="K40" s="2" t="s">
        <v>153</v>
      </c>
    </row>
    <row r="41" spans="1:11" ht="32.75" customHeight="1" x14ac:dyDescent="0.2">
      <c r="A41" s="2" t="s">
        <v>161</v>
      </c>
      <c r="B41" s="2" t="s">
        <v>162</v>
      </c>
      <c r="C41" s="3" t="s">
        <v>163</v>
      </c>
      <c r="D41" s="2" t="s">
        <v>164</v>
      </c>
      <c r="E41" s="4">
        <v>1</v>
      </c>
      <c r="F41" s="5">
        <v>15</v>
      </c>
      <c r="G41" s="6">
        <f t="shared" si="4"/>
        <v>15</v>
      </c>
      <c r="H41" s="6">
        <f t="shared" si="5"/>
        <v>15</v>
      </c>
      <c r="I41" s="4" t="s">
        <v>17</v>
      </c>
      <c r="J41" s="4" t="s">
        <v>17</v>
      </c>
      <c r="K41" s="2" t="s">
        <v>165</v>
      </c>
    </row>
    <row r="42" spans="1:11" ht="17.25" customHeight="1" x14ac:dyDescent="0.2">
      <c r="A42" s="2" t="s">
        <v>166</v>
      </c>
      <c r="B42" s="2" t="s">
        <v>167</v>
      </c>
      <c r="C42" s="3" t="s">
        <v>163</v>
      </c>
      <c r="D42" s="2" t="s">
        <v>168</v>
      </c>
      <c r="E42" s="4">
        <v>1</v>
      </c>
      <c r="F42" s="5">
        <v>10</v>
      </c>
      <c r="G42" s="6">
        <f t="shared" si="4"/>
        <v>10</v>
      </c>
      <c r="H42" s="6">
        <f t="shared" si="5"/>
        <v>10</v>
      </c>
      <c r="I42" s="4" t="s">
        <v>17</v>
      </c>
      <c r="J42" s="4" t="s">
        <v>17</v>
      </c>
      <c r="K42" s="2" t="s">
        <v>169</v>
      </c>
    </row>
    <row r="43" spans="1:11" ht="32.75" customHeight="1" x14ac:dyDescent="0.2">
      <c r="A43" s="2" t="s">
        <v>170</v>
      </c>
      <c r="B43" s="2" t="s">
        <v>171</v>
      </c>
      <c r="C43" s="3" t="s">
        <v>107</v>
      </c>
      <c r="D43" s="2" t="s">
        <v>172</v>
      </c>
      <c r="E43" s="4">
        <v>1</v>
      </c>
      <c r="F43" s="5">
        <v>15</v>
      </c>
      <c r="G43" s="6">
        <f t="shared" si="4"/>
        <v>15</v>
      </c>
      <c r="H43" s="6">
        <f t="shared" si="5"/>
        <v>15</v>
      </c>
      <c r="I43" s="4" t="s">
        <v>17</v>
      </c>
      <c r="J43" s="4" t="s">
        <v>17</v>
      </c>
      <c r="K43" s="2" t="s">
        <v>123</v>
      </c>
    </row>
    <row r="45" spans="1:11" ht="17.25" customHeight="1" x14ac:dyDescent="0.2">
      <c r="D45" s="7" t="s">
        <v>173</v>
      </c>
      <c r="G45" s="8">
        <f>SUM(G5:G43)</f>
        <v>1627</v>
      </c>
      <c r="H45" s="8">
        <f>SUM(H5:H43)</f>
        <v>908</v>
      </c>
    </row>
    <row r="47" spans="1:11" ht="54" customHeight="1" x14ac:dyDescent="0.2">
      <c r="A47" s="15" t="s">
        <v>174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</row>
  </sheetData>
  <mergeCells count="8">
    <mergeCell ref="A47:K47"/>
    <mergeCell ref="A36:K36"/>
    <mergeCell ref="A1:K1"/>
    <mergeCell ref="A18:K18"/>
    <mergeCell ref="A4:K4"/>
    <mergeCell ref="A30:K30"/>
    <mergeCell ref="A25:K25"/>
    <mergeCell ref="A10:K10"/>
  </mergeCells>
  <hyperlinks>
    <hyperlink ref="C5" r:id="rId1" xr:uid="{00000000-0004-0000-0000-000000000000}"/>
    <hyperlink ref="C6" r:id="rId2" xr:uid="{00000000-0004-0000-0000-000001000000}"/>
    <hyperlink ref="C7" r:id="rId3" xr:uid="{00000000-0004-0000-0000-000002000000}"/>
    <hyperlink ref="C8" r:id="rId4" xr:uid="{00000000-0004-0000-0000-000003000000}"/>
    <hyperlink ref="C9" r:id="rId5" xr:uid="{00000000-0004-0000-0000-000004000000}"/>
    <hyperlink ref="C11" r:id="rId6" xr:uid="{00000000-0004-0000-0000-000005000000}"/>
    <hyperlink ref="C12" r:id="rId7" xr:uid="{00000000-0004-0000-0000-000006000000}"/>
    <hyperlink ref="C13" r:id="rId8" xr:uid="{00000000-0004-0000-0000-000007000000}"/>
    <hyperlink ref="C14" r:id="rId9" xr:uid="{00000000-0004-0000-0000-000008000000}"/>
    <hyperlink ref="C15" r:id="rId10" xr:uid="{00000000-0004-0000-0000-000009000000}"/>
    <hyperlink ref="C16" r:id="rId11" xr:uid="{00000000-0004-0000-0000-00000A000000}"/>
    <hyperlink ref="C17" r:id="rId12" xr:uid="{00000000-0004-0000-0000-00000B000000}"/>
    <hyperlink ref="C19" r:id="rId13" xr:uid="{00000000-0004-0000-0000-00000C000000}"/>
    <hyperlink ref="C20" r:id="rId14" xr:uid="{00000000-0004-0000-0000-00000D000000}"/>
    <hyperlink ref="C21" r:id="rId15" xr:uid="{00000000-0004-0000-0000-00000E000000}"/>
    <hyperlink ref="C22" r:id="rId16" xr:uid="{00000000-0004-0000-0000-00000F000000}"/>
    <hyperlink ref="C23" r:id="rId17" xr:uid="{00000000-0004-0000-0000-000010000000}"/>
    <hyperlink ref="C24" r:id="rId18" xr:uid="{00000000-0004-0000-0000-000011000000}"/>
    <hyperlink ref="C26" r:id="rId19" xr:uid="{00000000-0004-0000-0000-000012000000}"/>
    <hyperlink ref="C27" r:id="rId20" xr:uid="{00000000-0004-0000-0000-000013000000}"/>
    <hyperlink ref="C28" r:id="rId21" xr:uid="{00000000-0004-0000-0000-000014000000}"/>
    <hyperlink ref="C29" r:id="rId22" xr:uid="{00000000-0004-0000-0000-000015000000}"/>
    <hyperlink ref="C31" r:id="rId23" xr:uid="{00000000-0004-0000-0000-000016000000}"/>
    <hyperlink ref="C32" r:id="rId24" xr:uid="{00000000-0004-0000-0000-000017000000}"/>
    <hyperlink ref="C33" r:id="rId25" xr:uid="{00000000-0004-0000-0000-000018000000}"/>
    <hyperlink ref="C34" r:id="rId26" xr:uid="{00000000-0004-0000-0000-000019000000}"/>
    <hyperlink ref="C35" r:id="rId27" xr:uid="{00000000-0004-0000-0000-00001A000000}"/>
    <hyperlink ref="C37" r:id="rId28" xr:uid="{00000000-0004-0000-0000-00001B000000}"/>
    <hyperlink ref="C38" r:id="rId29" xr:uid="{00000000-0004-0000-0000-00001C000000}"/>
    <hyperlink ref="C39" r:id="rId30" xr:uid="{00000000-0004-0000-0000-00001D000000}"/>
    <hyperlink ref="C40" r:id="rId31" xr:uid="{00000000-0004-0000-0000-00001E000000}"/>
    <hyperlink ref="C41" r:id="rId32" xr:uid="{00000000-0004-0000-0000-00001F000000}"/>
    <hyperlink ref="C42" r:id="rId33" xr:uid="{00000000-0004-0000-0000-000020000000}"/>
    <hyperlink ref="C43" r:id="rId34" xr:uid="{00000000-0004-0000-0000-000021000000}"/>
  </hyperlinks>
  <pageMargins left="0.75" right="0.75" top="1" bottom="1" header="0.511811023622047" footer="0.511811023622047"/>
  <pageSetup paperSize="9" orientation="portrait" horizontalDpi="300" verticalDpi="300"/>
  <drawing r:id="rId3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5" x14ac:dyDescent="0.2"/>
  <cols>
    <col min="1" max="1" width="26" customWidth="1"/>
    <col min="2" max="3" width="34" customWidth="1"/>
    <col min="4" max="5" width="30" customWidth="1"/>
    <col min="6" max="6" width="34" customWidth="1"/>
  </cols>
  <sheetData>
    <row r="1" spans="1:6" ht="24" customHeight="1" x14ac:dyDescent="0.2">
      <c r="A1" s="18" t="s">
        <v>175</v>
      </c>
      <c r="B1" s="16"/>
      <c r="C1" s="16"/>
      <c r="D1" s="16"/>
      <c r="E1" s="16"/>
      <c r="F1" s="16"/>
    </row>
    <row r="3" spans="1:6" ht="32.75" customHeight="1" x14ac:dyDescent="0.2">
      <c r="A3" s="1" t="s">
        <v>176</v>
      </c>
      <c r="B3" s="1" t="s">
        <v>177</v>
      </c>
      <c r="C3" s="1" t="s">
        <v>178</v>
      </c>
      <c r="D3" s="1" t="s">
        <v>179</v>
      </c>
      <c r="E3" s="1" t="s">
        <v>180</v>
      </c>
      <c r="F3" s="1" t="s">
        <v>181</v>
      </c>
    </row>
    <row r="4" spans="1:6" ht="32.75" customHeight="1" x14ac:dyDescent="0.2">
      <c r="A4" s="9" t="s">
        <v>182</v>
      </c>
      <c r="B4" s="2" t="s">
        <v>183</v>
      </c>
      <c r="C4" s="2" t="s">
        <v>183</v>
      </c>
      <c r="D4" s="2" t="s">
        <v>184</v>
      </c>
      <c r="E4" s="2" t="s">
        <v>184</v>
      </c>
      <c r="F4" s="2" t="s">
        <v>185</v>
      </c>
    </row>
    <row r="5" spans="1:6" ht="48.5" customHeight="1" x14ac:dyDescent="0.2">
      <c r="A5" s="9" t="s">
        <v>186</v>
      </c>
      <c r="B5" s="2" t="s">
        <v>187</v>
      </c>
      <c r="C5" s="2" t="s">
        <v>187</v>
      </c>
      <c r="D5" s="2" t="s">
        <v>188</v>
      </c>
      <c r="E5" s="2" t="s">
        <v>189</v>
      </c>
      <c r="F5" s="2" t="s">
        <v>190</v>
      </c>
    </row>
    <row r="6" spans="1:6" ht="17.25" customHeight="1" x14ac:dyDescent="0.2">
      <c r="A6" s="9" t="s">
        <v>191</v>
      </c>
      <c r="B6" s="2" t="s">
        <v>192</v>
      </c>
      <c r="C6" s="2" t="s">
        <v>192</v>
      </c>
      <c r="D6" s="2" t="s">
        <v>193</v>
      </c>
      <c r="E6" s="2" t="s">
        <v>193</v>
      </c>
      <c r="F6" s="2" t="s">
        <v>194</v>
      </c>
    </row>
    <row r="7" spans="1:6" ht="17.25" customHeight="1" x14ac:dyDescent="0.2">
      <c r="A7" s="9" t="s">
        <v>195</v>
      </c>
      <c r="B7" s="2" t="s">
        <v>196</v>
      </c>
      <c r="C7" s="2" t="s">
        <v>196</v>
      </c>
      <c r="D7" s="2" t="s">
        <v>196</v>
      </c>
      <c r="E7" s="2" t="s">
        <v>196</v>
      </c>
      <c r="F7" s="2" t="s">
        <v>197</v>
      </c>
    </row>
    <row r="8" spans="1:6" ht="17.25" customHeight="1" x14ac:dyDescent="0.2">
      <c r="A8" s="9" t="s">
        <v>198</v>
      </c>
      <c r="B8" s="2">
        <v>0.19600000000000001</v>
      </c>
      <c r="C8" s="2">
        <v>0.19600000000000001</v>
      </c>
      <c r="D8" s="2">
        <v>0.105</v>
      </c>
      <c r="E8" s="2">
        <v>0.105</v>
      </c>
      <c r="F8" s="2" t="s">
        <v>199</v>
      </c>
    </row>
    <row r="9" spans="1:6" ht="17.25" customHeight="1" x14ac:dyDescent="0.2">
      <c r="A9" s="9" t="s">
        <v>200</v>
      </c>
      <c r="B9" s="2" t="s">
        <v>201</v>
      </c>
      <c r="C9" s="2" t="s">
        <v>201</v>
      </c>
      <c r="D9" s="2" t="s">
        <v>202</v>
      </c>
      <c r="E9" s="2" t="s">
        <v>202</v>
      </c>
      <c r="F9" s="2" t="s">
        <v>203</v>
      </c>
    </row>
    <row r="10" spans="1:6" ht="17.25" customHeight="1" x14ac:dyDescent="0.2">
      <c r="A10" s="9" t="s">
        <v>204</v>
      </c>
      <c r="B10" s="2" t="s">
        <v>205</v>
      </c>
      <c r="C10" s="2" t="s">
        <v>205</v>
      </c>
      <c r="D10" s="2" t="s">
        <v>206</v>
      </c>
      <c r="E10" s="2" t="s">
        <v>207</v>
      </c>
      <c r="F10" s="2" t="s">
        <v>208</v>
      </c>
    </row>
    <row r="11" spans="1:6" ht="17.25" customHeight="1" x14ac:dyDescent="0.2">
      <c r="A11" s="9" t="s">
        <v>209</v>
      </c>
      <c r="B11" s="2" t="s">
        <v>210</v>
      </c>
      <c r="C11" s="2" t="s">
        <v>210</v>
      </c>
      <c r="D11" s="2" t="s">
        <v>211</v>
      </c>
      <c r="E11" s="2" t="s">
        <v>212</v>
      </c>
      <c r="F11" s="2" t="s">
        <v>213</v>
      </c>
    </row>
    <row r="12" spans="1:6" ht="32.75" customHeight="1" x14ac:dyDescent="0.2">
      <c r="A12" s="9" t="s">
        <v>214</v>
      </c>
      <c r="B12" s="2" t="s">
        <v>215</v>
      </c>
      <c r="C12" s="2" t="s">
        <v>215</v>
      </c>
      <c r="D12" s="2" t="s">
        <v>216</v>
      </c>
      <c r="E12" s="2" t="s">
        <v>215</v>
      </c>
      <c r="F12" s="2" t="s">
        <v>217</v>
      </c>
    </row>
    <row r="13" spans="1:6" ht="32.75" customHeight="1" x14ac:dyDescent="0.2">
      <c r="A13" s="9" t="s">
        <v>218</v>
      </c>
      <c r="B13" s="2" t="s">
        <v>219</v>
      </c>
      <c r="C13" s="2" t="s">
        <v>220</v>
      </c>
      <c r="D13" s="2" t="s">
        <v>221</v>
      </c>
      <c r="E13" s="2" t="s">
        <v>220</v>
      </c>
      <c r="F13" s="2" t="s">
        <v>222</v>
      </c>
    </row>
    <row r="14" spans="1:6" ht="32.75" customHeight="1" x14ac:dyDescent="0.2">
      <c r="A14" s="9" t="s">
        <v>223</v>
      </c>
      <c r="B14" s="2" t="s">
        <v>224</v>
      </c>
      <c r="C14" s="2" t="s">
        <v>225</v>
      </c>
      <c r="D14" s="2" t="s">
        <v>226</v>
      </c>
      <c r="E14" s="2" t="s">
        <v>225</v>
      </c>
      <c r="F14" s="2" t="s">
        <v>227</v>
      </c>
    </row>
    <row r="15" spans="1:6" ht="17.25" customHeight="1" x14ac:dyDescent="0.2">
      <c r="A15" s="9" t="s">
        <v>228</v>
      </c>
      <c r="B15" s="2" t="s">
        <v>229</v>
      </c>
      <c r="C15" s="2" t="s">
        <v>18</v>
      </c>
      <c r="D15" s="2" t="s">
        <v>18</v>
      </c>
      <c r="E15" s="2" t="s">
        <v>18</v>
      </c>
      <c r="F15" s="2" t="s">
        <v>230</v>
      </c>
    </row>
    <row r="17" spans="1:6" ht="43.5" customHeight="1" x14ac:dyDescent="0.2">
      <c r="A17" s="15" t="s">
        <v>231</v>
      </c>
      <c r="B17" s="16"/>
      <c r="C17" s="16"/>
      <c r="D17" s="16"/>
      <c r="E17" s="16"/>
      <c r="F17" s="16"/>
    </row>
  </sheetData>
  <mergeCells count="2">
    <mergeCell ref="A1:F1"/>
    <mergeCell ref="A17:F1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zoomScaleNormal="100" workbookViewId="0"/>
  </sheetViews>
  <sheetFormatPr baseColWidth="10" defaultColWidth="8.6640625" defaultRowHeight="15" x14ac:dyDescent="0.2"/>
  <cols>
    <col min="1" max="1" width="30" customWidth="1"/>
    <col min="2" max="2" width="17" customWidth="1"/>
    <col min="3" max="3" width="18" customWidth="1"/>
    <col min="4" max="4" width="12" customWidth="1"/>
    <col min="5" max="5" width="40" customWidth="1"/>
    <col min="6" max="6" width="38" customWidth="1"/>
  </cols>
  <sheetData>
    <row r="1" spans="1:6" ht="24" customHeight="1" x14ac:dyDescent="0.2">
      <c r="A1" s="18" t="s">
        <v>232</v>
      </c>
      <c r="B1" s="16"/>
      <c r="C1" s="16"/>
      <c r="D1" s="16"/>
      <c r="E1" s="16"/>
      <c r="F1" s="16"/>
    </row>
    <row r="3" spans="1:6" ht="32.75" customHeight="1" x14ac:dyDescent="0.2">
      <c r="A3" s="1" t="s">
        <v>233</v>
      </c>
      <c r="B3" s="1" t="s">
        <v>234</v>
      </c>
      <c r="C3" s="1" t="s">
        <v>235</v>
      </c>
      <c r="D3" s="1" t="s">
        <v>236</v>
      </c>
      <c r="E3" s="1" t="s">
        <v>237</v>
      </c>
      <c r="F3" s="1" t="s">
        <v>238</v>
      </c>
    </row>
    <row r="4" spans="1:6" ht="17.25" customHeight="1" x14ac:dyDescent="0.2">
      <c r="A4" s="10" t="s">
        <v>239</v>
      </c>
      <c r="B4" s="11">
        <v>17.91</v>
      </c>
      <c r="C4" s="11">
        <v>1.35</v>
      </c>
      <c r="D4" s="11">
        <v>2.2679999999999998</v>
      </c>
      <c r="E4" s="10" t="s">
        <v>240</v>
      </c>
      <c r="F4" s="10" t="s">
        <v>241</v>
      </c>
    </row>
    <row r="5" spans="1:6" ht="17.25" customHeight="1" x14ac:dyDescent="0.2">
      <c r="A5" s="10" t="s">
        <v>242</v>
      </c>
      <c r="B5" s="11">
        <v>19.05</v>
      </c>
      <c r="C5" s="11">
        <v>1.52</v>
      </c>
      <c r="D5" s="11">
        <v>2.5</v>
      </c>
      <c r="E5" s="10" t="s">
        <v>243</v>
      </c>
      <c r="F5" s="10" t="s">
        <v>244</v>
      </c>
    </row>
    <row r="6" spans="1:6" ht="17.25" customHeight="1" x14ac:dyDescent="0.2">
      <c r="A6" s="10" t="s">
        <v>245</v>
      </c>
      <c r="B6" s="11">
        <v>21.21</v>
      </c>
      <c r="C6" s="11">
        <v>1.95</v>
      </c>
      <c r="D6" s="11">
        <v>5</v>
      </c>
      <c r="E6" s="10" t="s">
        <v>246</v>
      </c>
      <c r="F6" s="10" t="s">
        <v>247</v>
      </c>
    </row>
    <row r="7" spans="1:6" ht="17.25" customHeight="1" x14ac:dyDescent="0.2">
      <c r="A7" s="10" t="s">
        <v>248</v>
      </c>
      <c r="B7" s="11">
        <v>24.26</v>
      </c>
      <c r="C7" s="11">
        <v>1.75</v>
      </c>
      <c r="D7" s="11">
        <v>5.67</v>
      </c>
      <c r="E7" s="10" t="s">
        <v>240</v>
      </c>
      <c r="F7" s="10" t="s">
        <v>249</v>
      </c>
    </row>
    <row r="8" spans="1:6" ht="17.25" customHeight="1" x14ac:dyDescent="0.2">
      <c r="A8" s="10" t="s">
        <v>250</v>
      </c>
      <c r="B8" s="11">
        <v>26.5</v>
      </c>
      <c r="C8" s="11">
        <v>2</v>
      </c>
      <c r="D8" s="11">
        <v>8.1</v>
      </c>
      <c r="E8" s="10" t="s">
        <v>251</v>
      </c>
      <c r="F8" s="10" t="s">
        <v>252</v>
      </c>
    </row>
    <row r="9" spans="1:6" ht="17.25" customHeight="1" x14ac:dyDescent="0.2">
      <c r="A9" s="10" t="s">
        <v>253</v>
      </c>
      <c r="B9" s="11">
        <v>30.61</v>
      </c>
      <c r="C9" s="11">
        <v>2.15</v>
      </c>
      <c r="D9" s="11">
        <v>11.34</v>
      </c>
      <c r="E9" s="10" t="s">
        <v>254</v>
      </c>
      <c r="F9" s="10" t="s">
        <v>255</v>
      </c>
    </row>
    <row r="10" spans="1:6" ht="17.25" customHeight="1" x14ac:dyDescent="0.2">
      <c r="A10" s="10" t="s">
        <v>256</v>
      </c>
      <c r="B10" s="11">
        <v>38.1</v>
      </c>
      <c r="C10" s="11">
        <v>2.9</v>
      </c>
      <c r="D10" s="11">
        <v>26.73</v>
      </c>
      <c r="E10" s="10" t="s">
        <v>257</v>
      </c>
      <c r="F10" s="10" t="s">
        <v>258</v>
      </c>
    </row>
    <row r="12" spans="1:6" ht="17.25" customHeight="1" x14ac:dyDescent="0.2">
      <c r="A12" s="19" t="s">
        <v>259</v>
      </c>
      <c r="B12" s="16"/>
      <c r="C12" s="16"/>
      <c r="D12" s="16"/>
      <c r="E12" s="16"/>
      <c r="F12" s="16"/>
    </row>
  </sheetData>
  <mergeCells count="2">
    <mergeCell ref="A1:F1"/>
    <mergeCell ref="A12:F1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8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5" x14ac:dyDescent="0.2"/>
  <cols>
    <col min="1" max="1" width="38" customWidth="1"/>
    <col min="2" max="2" width="8" customWidth="1"/>
    <col min="3" max="3" width="24" customWidth="1"/>
    <col min="4" max="5" width="34" customWidth="1"/>
    <col min="6" max="6" width="50" customWidth="1"/>
  </cols>
  <sheetData>
    <row r="1" spans="1:6" ht="24" customHeight="1" x14ac:dyDescent="0.2">
      <c r="A1" s="18" t="s">
        <v>260</v>
      </c>
      <c r="B1" s="16"/>
      <c r="C1" s="16"/>
      <c r="D1" s="16"/>
      <c r="E1" s="16"/>
      <c r="F1" s="16"/>
    </row>
    <row r="3" spans="1:6" ht="17.25" customHeight="1" x14ac:dyDescent="0.2">
      <c r="A3" s="1" t="s">
        <v>261</v>
      </c>
      <c r="B3" s="1" t="s">
        <v>5</v>
      </c>
      <c r="C3" s="1" t="s">
        <v>262</v>
      </c>
      <c r="D3" s="1" t="s">
        <v>263</v>
      </c>
      <c r="E3" s="1" t="s">
        <v>264</v>
      </c>
      <c r="F3" s="1" t="s">
        <v>265</v>
      </c>
    </row>
    <row r="4" spans="1:6" ht="17.25" customHeight="1" x14ac:dyDescent="0.2">
      <c r="A4" s="12" t="s">
        <v>266</v>
      </c>
      <c r="B4" s="13"/>
      <c r="C4" s="13"/>
      <c r="D4" s="13"/>
      <c r="E4" s="13"/>
      <c r="F4" s="14"/>
    </row>
    <row r="5" spans="1:6" ht="32.75" customHeight="1" x14ac:dyDescent="0.2">
      <c r="A5" s="2" t="s">
        <v>267</v>
      </c>
      <c r="B5" s="4">
        <v>1</v>
      </c>
      <c r="C5" s="2" t="s">
        <v>268</v>
      </c>
      <c r="D5" s="2" t="s">
        <v>269</v>
      </c>
      <c r="E5" s="2" t="s">
        <v>270</v>
      </c>
      <c r="F5" s="2" t="s">
        <v>271</v>
      </c>
    </row>
    <row r="6" spans="1:6" ht="32.75" customHeight="1" x14ac:dyDescent="0.2">
      <c r="A6" s="2" t="s">
        <v>272</v>
      </c>
      <c r="B6" s="4">
        <v>1</v>
      </c>
      <c r="C6" s="2" t="s">
        <v>268</v>
      </c>
      <c r="D6" s="2" t="s">
        <v>269</v>
      </c>
      <c r="E6" s="2" t="s">
        <v>273</v>
      </c>
      <c r="F6" s="2" t="s">
        <v>274</v>
      </c>
    </row>
    <row r="7" spans="1:6" ht="32.75" customHeight="1" x14ac:dyDescent="0.2">
      <c r="A7" s="2" t="s">
        <v>275</v>
      </c>
      <c r="B7" s="4">
        <v>1</v>
      </c>
      <c r="C7" s="2" t="s">
        <v>268</v>
      </c>
      <c r="D7" s="2" t="s">
        <v>276</v>
      </c>
      <c r="E7" s="2" t="s">
        <v>277</v>
      </c>
      <c r="F7" s="2" t="s">
        <v>278</v>
      </c>
    </row>
    <row r="8" spans="1:6" ht="32.75" customHeight="1" x14ac:dyDescent="0.2">
      <c r="A8" s="2" t="s">
        <v>279</v>
      </c>
      <c r="B8" s="4">
        <v>2</v>
      </c>
      <c r="C8" s="2" t="s">
        <v>280</v>
      </c>
      <c r="D8" s="2" t="s">
        <v>281</v>
      </c>
      <c r="E8" s="2" t="s">
        <v>282</v>
      </c>
      <c r="F8" s="2" t="s">
        <v>283</v>
      </c>
    </row>
    <row r="9" spans="1:6" ht="17.25" customHeight="1" x14ac:dyDescent="0.2">
      <c r="A9" s="2" t="s">
        <v>284</v>
      </c>
      <c r="B9" s="4">
        <v>1</v>
      </c>
      <c r="C9" s="2" t="s">
        <v>285</v>
      </c>
      <c r="D9" s="2" t="s">
        <v>286</v>
      </c>
      <c r="E9" s="2" t="s">
        <v>287</v>
      </c>
      <c r="F9" s="2" t="s">
        <v>288</v>
      </c>
    </row>
    <row r="10" spans="1:6" ht="17.25" customHeight="1" x14ac:dyDescent="0.2">
      <c r="A10" s="2" t="s">
        <v>289</v>
      </c>
      <c r="B10" s="4">
        <v>1</v>
      </c>
      <c r="C10" s="2" t="s">
        <v>290</v>
      </c>
      <c r="D10" s="2" t="s">
        <v>291</v>
      </c>
      <c r="E10" s="2" t="s">
        <v>292</v>
      </c>
      <c r="F10" s="2" t="s">
        <v>293</v>
      </c>
    </row>
    <row r="11" spans="1:6" ht="17.25" customHeight="1" x14ac:dyDescent="0.2">
      <c r="A11" s="2" t="s">
        <v>294</v>
      </c>
      <c r="B11" s="4">
        <v>1</v>
      </c>
      <c r="C11" s="2" t="s">
        <v>268</v>
      </c>
      <c r="D11" s="2" t="s">
        <v>295</v>
      </c>
      <c r="E11" s="2" t="s">
        <v>296</v>
      </c>
      <c r="F11" s="2" t="s">
        <v>297</v>
      </c>
    </row>
    <row r="12" spans="1:6" ht="17.25" customHeight="1" x14ac:dyDescent="0.2">
      <c r="A12" s="2" t="s">
        <v>298</v>
      </c>
      <c r="B12" s="4">
        <v>1</v>
      </c>
      <c r="C12" s="2" t="s">
        <v>268</v>
      </c>
      <c r="D12" s="2" t="s">
        <v>299</v>
      </c>
      <c r="E12" s="2" t="s">
        <v>300</v>
      </c>
      <c r="F12" s="2" t="s">
        <v>301</v>
      </c>
    </row>
    <row r="13" spans="1:6" ht="17.25" customHeight="1" x14ac:dyDescent="0.2">
      <c r="A13" s="12" t="s">
        <v>302</v>
      </c>
      <c r="B13" s="13"/>
      <c r="C13" s="13"/>
      <c r="D13" s="13"/>
      <c r="E13" s="13"/>
      <c r="F13" s="14"/>
    </row>
    <row r="14" spans="1:6" ht="32.75" customHeight="1" x14ac:dyDescent="0.2">
      <c r="A14" s="2" t="s">
        <v>303</v>
      </c>
      <c r="B14" s="4">
        <v>1</v>
      </c>
      <c r="C14" s="2" t="s">
        <v>268</v>
      </c>
      <c r="D14" s="2" t="s">
        <v>304</v>
      </c>
      <c r="E14" s="2" t="s">
        <v>305</v>
      </c>
      <c r="F14" s="2" t="s">
        <v>306</v>
      </c>
    </row>
    <row r="15" spans="1:6" ht="17.25" customHeight="1" x14ac:dyDescent="0.2">
      <c r="A15" s="2" t="s">
        <v>307</v>
      </c>
      <c r="B15" s="4">
        <v>1</v>
      </c>
      <c r="C15" s="2" t="s">
        <v>290</v>
      </c>
      <c r="D15" s="2" t="s">
        <v>308</v>
      </c>
      <c r="E15" s="2" t="s">
        <v>309</v>
      </c>
      <c r="F15" s="2" t="s">
        <v>310</v>
      </c>
    </row>
    <row r="16" spans="1:6" ht="17.25" customHeight="1" x14ac:dyDescent="0.2">
      <c r="A16" s="2" t="s">
        <v>311</v>
      </c>
      <c r="B16" s="4">
        <v>1</v>
      </c>
      <c r="C16" s="2" t="s">
        <v>290</v>
      </c>
      <c r="D16" s="2" t="s">
        <v>308</v>
      </c>
      <c r="E16" s="2" t="s">
        <v>312</v>
      </c>
      <c r="F16" s="2" t="s">
        <v>313</v>
      </c>
    </row>
    <row r="17" spans="1:6" ht="32.75" customHeight="1" x14ac:dyDescent="0.2">
      <c r="A17" s="2" t="s">
        <v>314</v>
      </c>
      <c r="B17" s="4">
        <v>1</v>
      </c>
      <c r="C17" s="2" t="s">
        <v>315</v>
      </c>
      <c r="D17" s="2" t="s">
        <v>316</v>
      </c>
      <c r="E17" s="2" t="s">
        <v>317</v>
      </c>
      <c r="F17" s="2" t="s">
        <v>318</v>
      </c>
    </row>
    <row r="18" spans="1:6" ht="17.25" customHeight="1" x14ac:dyDescent="0.2">
      <c r="A18" s="2" t="s">
        <v>319</v>
      </c>
      <c r="B18" s="4">
        <v>1</v>
      </c>
      <c r="C18" s="2" t="s">
        <v>320</v>
      </c>
      <c r="D18" s="2" t="s">
        <v>321</v>
      </c>
      <c r="E18" s="2" t="s">
        <v>322</v>
      </c>
      <c r="F18" s="2" t="s">
        <v>323</v>
      </c>
    </row>
    <row r="19" spans="1:6" ht="17.25" customHeight="1" x14ac:dyDescent="0.2">
      <c r="A19" s="12" t="s">
        <v>324</v>
      </c>
      <c r="B19" s="13"/>
      <c r="C19" s="13"/>
      <c r="D19" s="13"/>
      <c r="E19" s="13"/>
      <c r="F19" s="14"/>
    </row>
    <row r="20" spans="1:6" ht="32.75" customHeight="1" x14ac:dyDescent="0.2">
      <c r="A20" s="2" t="s">
        <v>325</v>
      </c>
      <c r="B20" s="4">
        <v>2</v>
      </c>
      <c r="C20" s="2" t="s">
        <v>268</v>
      </c>
      <c r="D20" s="2" t="s">
        <v>326</v>
      </c>
      <c r="E20" s="2" t="s">
        <v>327</v>
      </c>
      <c r="F20" s="2" t="s">
        <v>328</v>
      </c>
    </row>
    <row r="21" spans="1:6" ht="32.75" customHeight="1" x14ac:dyDescent="0.2">
      <c r="A21" s="2" t="s">
        <v>329</v>
      </c>
      <c r="B21" s="4">
        <v>8</v>
      </c>
      <c r="C21" s="2" t="s">
        <v>330</v>
      </c>
      <c r="D21" s="2" t="s">
        <v>331</v>
      </c>
      <c r="E21" s="2" t="s">
        <v>332</v>
      </c>
      <c r="F21" s="2" t="s">
        <v>333</v>
      </c>
    </row>
    <row r="22" spans="1:6" ht="32.75" customHeight="1" x14ac:dyDescent="0.2">
      <c r="A22" s="2" t="s">
        <v>334</v>
      </c>
      <c r="B22" s="4">
        <v>8</v>
      </c>
      <c r="C22" s="2" t="s">
        <v>268</v>
      </c>
      <c r="D22" s="2" t="s">
        <v>316</v>
      </c>
      <c r="E22" s="2" t="s">
        <v>335</v>
      </c>
      <c r="F22" s="2" t="s">
        <v>336</v>
      </c>
    </row>
    <row r="23" spans="1:6" ht="32.75" customHeight="1" x14ac:dyDescent="0.2">
      <c r="A23" s="2" t="s">
        <v>337</v>
      </c>
      <c r="B23" s="4">
        <v>1</v>
      </c>
      <c r="C23" s="2" t="s">
        <v>268</v>
      </c>
      <c r="D23" s="2" t="s">
        <v>276</v>
      </c>
      <c r="E23" s="2" t="s">
        <v>338</v>
      </c>
      <c r="F23" s="2" t="s">
        <v>339</v>
      </c>
    </row>
    <row r="24" spans="1:6" ht="17.25" customHeight="1" x14ac:dyDescent="0.2">
      <c r="A24" s="2" t="s">
        <v>340</v>
      </c>
      <c r="B24" s="4">
        <v>1</v>
      </c>
      <c r="C24" s="2" t="s">
        <v>268</v>
      </c>
      <c r="D24" s="2" t="s">
        <v>341</v>
      </c>
      <c r="E24" s="2" t="s">
        <v>342</v>
      </c>
      <c r="F24" s="2" t="s">
        <v>343</v>
      </c>
    </row>
    <row r="25" spans="1:6" ht="32.75" customHeight="1" x14ac:dyDescent="0.2">
      <c r="A25" s="2" t="s">
        <v>344</v>
      </c>
      <c r="B25" s="4">
        <v>8</v>
      </c>
      <c r="C25" s="2" t="s">
        <v>345</v>
      </c>
      <c r="D25" s="2" t="s">
        <v>346</v>
      </c>
      <c r="E25" s="2" t="s">
        <v>347</v>
      </c>
      <c r="F25" s="2" t="s">
        <v>348</v>
      </c>
    </row>
    <row r="26" spans="1:6" ht="32.75" customHeight="1" x14ac:dyDescent="0.2">
      <c r="A26" s="2" t="s">
        <v>349</v>
      </c>
      <c r="B26" s="4">
        <v>1</v>
      </c>
      <c r="C26" s="2" t="s">
        <v>350</v>
      </c>
      <c r="D26" s="2" t="s">
        <v>351</v>
      </c>
      <c r="E26" s="2" t="s">
        <v>352</v>
      </c>
      <c r="F26" s="2" t="s">
        <v>353</v>
      </c>
    </row>
    <row r="28" spans="1:6" ht="42" customHeight="1" x14ac:dyDescent="0.2">
      <c r="A28" s="15" t="s">
        <v>354</v>
      </c>
      <c r="B28" s="16"/>
      <c r="C28" s="16"/>
      <c r="D28" s="16"/>
      <c r="E28" s="16"/>
      <c r="F28" s="16"/>
    </row>
  </sheetData>
  <mergeCells count="5">
    <mergeCell ref="A28:F28"/>
    <mergeCell ref="A13:F13"/>
    <mergeCell ref="A19:F19"/>
    <mergeCell ref="A1:F1"/>
    <mergeCell ref="A4:F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 BOM</vt:lpstr>
      <vt:lpstr>Optics &amp; Stages</vt:lpstr>
      <vt:lpstr>Coin Reference</vt:lpstr>
      <vt:lpstr>Transport Parts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Flores</cp:lastModifiedBy>
  <cp:revision>0</cp:revision>
  <dcterms:created xsi:type="dcterms:W3CDTF">2026-07-05T00:21:19Z</dcterms:created>
  <dcterms:modified xsi:type="dcterms:W3CDTF">2026-07-05T17:01:00Z</dcterms:modified>
  <dc:language>en-US</dc:language>
</cp:coreProperties>
</file>